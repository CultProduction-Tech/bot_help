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(ООО)" sheetId="1" r:id="rId4"/>
    <sheet state="visible" name="CE (ИП)" sheetId="2" r:id="rId5"/>
    <sheet state="visible" name="PASSPORT (ИП)" sheetId="3" r:id="rId6"/>
    <sheet state="visible" name="PASSPORT (ООО)" sheetId="4" r:id="rId7"/>
    <sheet state="visible" name="PASSPORT (допкост) (ООО)" sheetId="5" r:id="rId8"/>
    <sheet state="visible" name="ПЕРЕРАБОТКИ" sheetId="6" r:id="rId9"/>
  </sheets>
  <definedNames/>
  <calcPr/>
  <extLst>
    <ext uri="GoogleSheetsCustomDataVersion2">
      <go:sheetsCustomData xmlns:go="http://customooxmlschemas.google.com/" r:id="rId10" roundtripDataChecksum="S6kALgddS18Wb3RXZcU+3k1VAZyH0ZyahquCSfGbN/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0">
      <text>
        <t xml:space="preserve">======
ID#AAAB1WvYwp8
    (2026-03-04 14:58:33)
30 000 руб. за проекты до 6 млн 
40 000 руб. за проекты выше 6 млн
50 000 руб. за проекты свыше 20 млн</t>
      </text>
    </comment>
  </commentList>
  <extLst>
    <ext uri="GoogleSheetsCustomDataVersion2">
      <go:sheetsCustomData xmlns:go="http://customooxmlschemas.google.com/" r:id="rId1" roundtripDataSignature="AMtx7miitlUSGoSsHAG1WMrc6g7bsEUpv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0">
      <text>
        <t xml:space="preserve">======
ID#AAAB1WvYwp4
    (2026-03-04 14:58:33)
30 000 руб. за проекты до 6 млн 
40 000 руб. за проекты выше 6 млн
50 000 руб. за проекты свыше 20 млн</t>
      </text>
    </comment>
  </commentList>
  <extLst>
    <ext uri="GoogleSheetsCustomDataVersion2">
      <go:sheetsCustomData xmlns:go="http://customooxmlschemas.google.com/" r:id="rId1" roundtripDataSignature="AMtx7mjM1N5LkR3s+niw91RgEFrDHpRkOw=="/>
    </ext>
  </extLst>
</comments>
</file>

<file path=xl/sharedStrings.xml><?xml version="1.0" encoding="utf-8"?>
<sst xmlns="http://schemas.openxmlformats.org/spreadsheetml/2006/main" count="627" uniqueCount="202">
  <si>
    <t>ИТОГО, ДО НДС</t>
  </si>
  <si>
    <t>IN
COST</t>
  </si>
  <si>
    <t>ЦЕЛЬ</t>
  </si>
  <si>
    <t>МАРЖ–ТЬ (ПЛАН)</t>
  </si>
  <si>
    <t>IN-COST (ПЛАН)</t>
  </si>
  <si>
    <t>МАРЖ-ТЬ (ФАКТ)</t>
  </si>
  <si>
    <t>IN-COST (ФАКТ)</t>
  </si>
  <si>
    <t>Название проекта</t>
  </si>
  <si>
    <t>кол-во</t>
  </si>
  <si>
    <t>наименование единицы</t>
  </si>
  <si>
    <t>единица</t>
  </si>
  <si>
    <t>цена за единицу</t>
  </si>
  <si>
    <t>переработки (всего)</t>
  </si>
  <si>
    <t>подытог</t>
  </si>
  <si>
    <t>налоговая ставка</t>
  </si>
  <si>
    <t>итого c налогами</t>
  </si>
  <si>
    <t>комментарии</t>
  </si>
  <si>
    <t>подытог (ПЛАН)</t>
  </si>
  <si>
    <t>Налоговая ставка</t>
  </si>
  <si>
    <t>Итого c налогами (ПЛАН)</t>
  </si>
  <si>
    <t>подытог (ФАКТ)</t>
  </si>
  <si>
    <t>налог</t>
  </si>
  <si>
    <t>Итого c налогами (ФАКТ)</t>
  </si>
  <si>
    <t>часы</t>
  </si>
  <si>
    <t>ставка</t>
  </si>
  <si>
    <t>A. РАЗРАБОТКА</t>
  </si>
  <si>
    <t>Разработка креатива</t>
  </si>
  <si>
    <t>проект</t>
  </si>
  <si>
    <t>Креативный супервайзинг проекта</t>
  </si>
  <si>
    <t xml:space="preserve">Директор рисёрч </t>
  </si>
  <si>
    <t xml:space="preserve">Оформление тритмента </t>
  </si>
  <si>
    <t>Раскадровка</t>
  </si>
  <si>
    <t>кадр</t>
  </si>
  <si>
    <t>Аниматик</t>
  </si>
  <si>
    <t>ППМ-буклеты</t>
  </si>
  <si>
    <t>Переводчик</t>
  </si>
  <si>
    <t>Юридическое сопровождение</t>
  </si>
  <si>
    <t>Курьер, почтовые расходы</t>
  </si>
  <si>
    <t>ИТОГО РАЗРАБОТКА</t>
  </si>
  <si>
    <t>D. ГОНОРАРЫ</t>
  </si>
  <si>
    <t>РЕЖИССЕРСКИЙ ДЕПАРТАМЕНТ</t>
  </si>
  <si>
    <t>Режиссер</t>
  </si>
  <si>
    <t>Второй режиссер</t>
  </si>
  <si>
    <t>K. ПОСТ-ПРОИЗВОДСТВО</t>
  </si>
  <si>
    <t>Пост-продакшн продюсер</t>
  </si>
  <si>
    <t xml:space="preserve">проект </t>
  </si>
  <si>
    <t>Арт-директор</t>
  </si>
  <si>
    <t>МОНТАЖ И ЦВЕТОКОРРЕКЦИЯ</t>
  </si>
  <si>
    <t>Режиссер монтажа</t>
  </si>
  <si>
    <t>час</t>
  </si>
  <si>
    <t>Технический монтаж</t>
  </si>
  <si>
    <t>Цветокоррекция</t>
  </si>
  <si>
    <t>КОМПЬЮТЕРНАЯ ГРАФИКА</t>
  </si>
  <si>
    <t xml:space="preserve">Стоковые материалы </t>
  </si>
  <si>
    <t>шт</t>
  </si>
  <si>
    <t>VFX супервайзер</t>
  </si>
  <si>
    <t>смена</t>
  </si>
  <si>
    <t>Иллюстратор</t>
  </si>
  <si>
    <t xml:space="preserve">2D анимация </t>
  </si>
  <si>
    <t>3D анимация</t>
  </si>
  <si>
    <t xml:space="preserve">Моделинг </t>
  </si>
  <si>
    <t>Лайтнинг</t>
  </si>
  <si>
    <t xml:space="preserve">Шейдинг </t>
  </si>
  <si>
    <t xml:space="preserve">Трекинг </t>
  </si>
  <si>
    <t xml:space="preserve">Композитинг </t>
  </si>
  <si>
    <t xml:space="preserve">Клинап </t>
  </si>
  <si>
    <t>Рендер</t>
  </si>
  <si>
    <t>ИИ ГРАФИКА</t>
  </si>
  <si>
    <t>ИИ продюсер</t>
  </si>
  <si>
    <t xml:space="preserve">ИИ aрт-директор </t>
  </si>
  <si>
    <t>ИИ супервайзер</t>
  </si>
  <si>
    <t xml:space="preserve">Фото генерации </t>
  </si>
  <si>
    <t>Инпейнт (детальная доработка)</t>
  </si>
  <si>
    <t xml:space="preserve">Видео генерации </t>
  </si>
  <si>
    <t>Оплата лицензионных сервисов</t>
  </si>
  <si>
    <t>ЗВУК</t>
  </si>
  <si>
    <t xml:space="preserve">Стоковая музыка </t>
  </si>
  <si>
    <t>Композитор</t>
  </si>
  <si>
    <t>Диктор</t>
  </si>
  <si>
    <t>Студия звукозаписи</t>
  </si>
  <si>
    <t>Саунд-дизайн и сведение звука</t>
  </si>
  <si>
    <t>ролик</t>
  </si>
  <si>
    <t>ИТОГО ПОСТ-ПРОИЗВОДСТВО</t>
  </si>
  <si>
    <t xml:space="preserve"> ПРОИЗВОДСТВО</t>
  </si>
  <si>
    <t>ПРОИЗВОДСТВО</t>
  </si>
  <si>
    <t>ПОСТ-ПРОИЗВОДСТВО</t>
  </si>
  <si>
    <t>НЕПРЕДВИДЕННЫЕ РАСХОДЫ</t>
  </si>
  <si>
    <t>ИТОГО ПРОИЗВОДСТВО</t>
  </si>
  <si>
    <t>ИТОГО БЕЗ КРЕДИТОВАНИЯ</t>
  </si>
  <si>
    <t>МАРКАП</t>
  </si>
  <si>
    <t>КРЕДИТ, МЕСЯЦЕВ (4,5%)</t>
  </si>
  <si>
    <t>КРЕДИТ, МЕСЯЦЕВ</t>
  </si>
  <si>
    <t>ИТОГО ДО НДС</t>
  </si>
  <si>
    <t>ИТОГО РАСХОДОВ ПО ПРОЕКТУ</t>
  </si>
  <si>
    <t>НДС, 22%</t>
  </si>
  <si>
    <t>ИТОГО С НДС</t>
  </si>
  <si>
    <t>Примечания:</t>
  </si>
  <si>
    <t xml:space="preserve">
- Смета актуальна для условий, указанных в продакшн подходе, а именно: права, даты съемок, даты запуска (подтверждения), даты сдача мастеров, творческой группы. В случае изменения любых условий смета может быть пересчитана. 
- При отмене, переносе или остановке проекта по вашей инициативе, вы берете на себя обязательства компенсировать все понесенные исполнителем расходы, а также обязательства перед подрядчиками исполнителя, возникшие на момент отмены, переноса или остановки проекта.
- Если договор не будет подписан до съемочного дня, мы оставляем за собой право приостановить проект, при этом вы должны будете компенсировать все понесенные нами расходы, а также обязательства перед нашими подрядчиками, возникшие на тот момент.
- В смете не учтены расходы на “погодный день”. </t>
  </si>
  <si>
    <t>ПРИБЫЛЬ (ПЛАН)</t>
  </si>
  <si>
    <t>ПРИБЫЛЬ (ФАКТ)</t>
  </si>
  <si>
    <t>ИТОГО, ВКЛЮЧАЯ УСН И НДС</t>
  </si>
  <si>
    <t>Сценарий</t>
  </si>
  <si>
    <t>ИТОГО ДО УСН</t>
  </si>
  <si>
    <t>НАЛОГ (УСН и НДС)</t>
  </si>
  <si>
    <t>ИТОГО С УСН</t>
  </si>
  <si>
    <t>ФИНАНСЫ И ДОКУМЕНТЫ – КЛИЕНТ</t>
  </si>
  <si>
    <t>ПИК // AI ролики</t>
  </si>
  <si>
    <t>Наше юр лицо</t>
  </si>
  <si>
    <t>ИП Мельников</t>
  </si>
  <si>
    <t>Юр лицо клиента</t>
  </si>
  <si>
    <t>ПУБЛИЧНОЕ АКЦИОНЕРНОЕ ОБЩЕСТВО "ПИК-СПЕЦИАЛИЗИРОВАННЫЙ ЗАСТРОЙЩИК"</t>
  </si>
  <si>
    <t>Продюсер</t>
  </si>
  <si>
    <t>Гошко Вячеслав</t>
  </si>
  <si>
    <t>План IN-cost GROSS (с налогами)</t>
  </si>
  <si>
    <t>Факт IN-cost GROSS (с налогами)</t>
  </si>
  <si>
    <t>OUT-cost GROSS (с налогами ИП)</t>
  </si>
  <si>
    <t>Плановая маржинальность (%)</t>
  </si>
  <si>
    <t>Фактическая маржинальность (%)</t>
  </si>
  <si>
    <t>Финансовые условия: сроки и условия оплаты (сумма / пред- и постоплата / до какого числа каждая оплата)</t>
  </si>
  <si>
    <t>Постоплата в течение 30 календарных дней с даты подписания акта (дата акта 16.03)</t>
  </si>
  <si>
    <t>Ссылка на смету</t>
  </si>
  <si>
    <t>CE CULT x ПИК_AI ролики.xlsx</t>
  </si>
  <si>
    <t>Папка проекта</t>
  </si>
  <si>
    <t>https://drive.google.com/drive/folders/1f8Nnnirq8le4Mao-cEbzMREi8RZzKZYT</t>
  </si>
  <si>
    <t>Видеоролики</t>
  </si>
  <si>
    <t>Дата съемки</t>
  </si>
  <si>
    <t>без съёмки</t>
  </si>
  <si>
    <t>Дата сдачи результатов работ (выставления акта)</t>
  </si>
  <si>
    <t>Конкретный подробный перечень услуг / виды работ</t>
  </si>
  <si>
    <t>Создание 1 видеоролика хронометражом до 60 секунд + 1 вертикальная версия до 60 секунд (доработка рендеров клиента, анимация рендеров, цк, саунд дизайн)</t>
  </si>
  <si>
    <t>Сроки начала и окончания работ</t>
  </si>
  <si>
    <t>06.03.26-13.03.26</t>
  </si>
  <si>
    <t>Количество основных версий роликов</t>
  </si>
  <si>
    <t>Хронометраж каждой основной версии роликов</t>
  </si>
  <si>
    <t>до 60 сек.</t>
  </si>
  <si>
    <t>Количество монтажных версий роликов</t>
  </si>
  <si>
    <t>Хронометраж каждой монтажной версии роликов</t>
  </si>
  <si>
    <t xml:space="preserve">Будут ли задействованы: </t>
  </si>
  <si>
    <t>- актеры</t>
  </si>
  <si>
    <t>нет</t>
  </si>
  <si>
    <t>- диктор</t>
  </si>
  <si>
    <t>- компьютерная графика</t>
  </si>
  <si>
    <t>Музыка:</t>
  </si>
  <si>
    <t>- композитор (если да, сколько пишеттреков и каким хронометражем)</t>
  </si>
  <si>
    <t>- стоковая</t>
  </si>
  <si>
    <t>да</t>
  </si>
  <si>
    <t>Объем прав:</t>
  </si>
  <si>
    <t>- сроки + дата начала использования роликов</t>
  </si>
  <si>
    <t>неисключительная лицензия</t>
  </si>
  <si>
    <t>- каналы распространения</t>
  </si>
  <si>
    <t>сайт клиента</t>
  </si>
  <si>
    <t>- территория</t>
  </si>
  <si>
    <t>РФ и весь мир (интернет)</t>
  </si>
  <si>
    <t>Фотографии</t>
  </si>
  <si>
    <t>Количество фото</t>
  </si>
  <si>
    <t>Радио / аудиоролики</t>
  </si>
  <si>
    <t>Количество основных версий аудиороликов</t>
  </si>
  <si>
    <t>Хронометраж каждой основной версии аудиороликов</t>
  </si>
  <si>
    <t>Количество монтажных версий аудиороликов</t>
  </si>
  <si>
    <t>Хронометраж каждой монтажной версии аудиороликов</t>
  </si>
  <si>
    <t>- композитор (если да, сколько пишет треков и каким хронометражем)</t>
  </si>
  <si>
    <t>Будут ли стоки: фото / видео. Если да, объем предоставляемых прав</t>
  </si>
  <si>
    <t>Что предоставляет Заказчик (сценарии, текст для озвучивания, актеров и т.д.)</t>
  </si>
  <si>
    <t>Рендеры своих объектов</t>
  </si>
  <si>
    <t>Прописать возможность архивного хранения ролика в интернете и соц сетях заказчика?</t>
  </si>
  <si>
    <t>Прописать возможность создавать диркат?</t>
  </si>
  <si>
    <t>Прописать возможность использования роликов в нашем портфолио, сайте, соц сетях (для нас и команды)?</t>
  </si>
  <si>
    <t>ООО "Культ"</t>
  </si>
  <si>
    <t>OUT-cost NET (без НДС)</t>
  </si>
  <si>
    <t>OUT-cost GROSS (с НДС)</t>
  </si>
  <si>
    <t>- сроки + дата начала использования аудиороликов</t>
  </si>
  <si>
    <t>Конкретный подробный перечень доп услуг / виды доп работ</t>
  </si>
  <si>
    <t>Сроки начала и окончания доп работ</t>
  </si>
  <si>
    <t>РИД. Какие РИД создавались?</t>
  </si>
  <si>
    <t>- новые РИД не возникают</t>
  </si>
  <si>
    <t>- дублируем из основного договора</t>
  </si>
  <si>
    <t>РАСЧЕТ ПЕРЕРАБОТОК</t>
  </si>
  <si>
    <t>Смена</t>
  </si>
  <si>
    <t>Вызов до мотора: режиссер, второй режиссер, оператор и фокус</t>
  </si>
  <si>
    <t>Вызов до мотора и выход: механики и остальной тех. персонал</t>
  </si>
  <si>
    <t>Вызов до мотора и выход: бригада осветителей и постановщиков</t>
  </si>
  <si>
    <t>Текущий обед</t>
  </si>
  <si>
    <t>За МКАД</t>
  </si>
  <si>
    <t>смена/час</t>
  </si>
  <si>
    <t>переработки</t>
  </si>
  <si>
    <t>всего часов переработки</t>
  </si>
  <si>
    <t>вызов до смены</t>
  </si>
  <si>
    <t>текущий обед</t>
  </si>
  <si>
    <t>за МКАД</t>
  </si>
  <si>
    <t xml:space="preserve">Оператор-постановщик </t>
  </si>
  <si>
    <t>Фокус-пуллер</t>
  </si>
  <si>
    <t>Механики камеры</t>
  </si>
  <si>
    <t xml:space="preserve">Бригада осветителей </t>
  </si>
  <si>
    <t>Механики долли/крана</t>
  </si>
  <si>
    <t>Стедикам/гимбл/дрон</t>
  </si>
  <si>
    <t>Motion Control</t>
  </si>
  <si>
    <t>Звукорежиссер/Гример/Ассистент</t>
  </si>
  <si>
    <t>Реквизитор/постановщик</t>
  </si>
  <si>
    <t>SFX/VFX</t>
  </si>
  <si>
    <t>Аренда локации</t>
  </si>
  <si>
    <t>Транспорт (светобаза, гриптрак, гена и т.д.)</t>
  </si>
  <si>
    <t>Транспорт (камерваген, гримваген и т.д.)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</si>
</sst>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\.mm"/>
  </numFmts>
  <fonts count="32">
    <font>
      <sz val="10.0"/>
      <color rgb="FF000000"/>
      <name val="Calibri"/>
      <scheme val="minor"/>
    </font>
    <font>
      <sz val="9.0"/>
      <color theme="1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b/>
      <sz val="9.0"/>
      <color rgb="FF000000"/>
      <name val="Golos Text"/>
    </font>
    <font/>
    <font>
      <b/>
      <sz val="9.0"/>
      <color rgb="FFFF8ADA"/>
      <name val="Golos Text"/>
    </font>
    <font>
      <b/>
      <sz val="9.0"/>
      <color rgb="FFDB5798"/>
      <name val="Arial"/>
    </font>
    <font>
      <b/>
      <sz val="9.0"/>
      <color rgb="FFFFFFFF"/>
      <name val="Golos Text"/>
    </font>
    <font>
      <b/>
      <sz val="9.0"/>
      <color rgb="FF6AA84F"/>
      <name val="Golos Text"/>
    </font>
    <font>
      <sz val="9.0"/>
      <color rgb="FFFFFFFF"/>
      <name val="Golos Text"/>
    </font>
    <font>
      <sz val="9.0"/>
      <color theme="1"/>
      <name val="Golos Text"/>
    </font>
    <font>
      <sz val="9.0"/>
      <color rgb="FFFFFFFF"/>
      <name val="Arial"/>
    </font>
    <font>
      <sz val="9.0"/>
      <color rgb="FF000000"/>
      <name val="Golos Text"/>
    </font>
    <font>
      <sz val="10.0"/>
      <color theme="1"/>
      <name val="Golos Text"/>
    </font>
    <font>
      <b/>
      <sz val="9.0"/>
      <color rgb="FFFF0000"/>
      <name val="Golos Text"/>
    </font>
    <font>
      <sz val="7.0"/>
      <color theme="1"/>
      <name val="Golos Text"/>
    </font>
    <font>
      <sz val="10.0"/>
      <color theme="1"/>
      <name val="Calibri"/>
    </font>
    <font>
      <b/>
      <sz val="9.0"/>
      <color rgb="FFFF8ADA"/>
      <name val="Arial"/>
    </font>
    <font>
      <b/>
      <sz val="9.0"/>
      <color rgb="FFFFFFFF"/>
      <name val="Arial"/>
    </font>
    <font>
      <b/>
      <sz val="9.0"/>
      <color rgb="FF6AA84F"/>
      <name val="Arial"/>
    </font>
    <font>
      <sz val="9.0"/>
      <color rgb="FF000000"/>
      <name val="Arial"/>
    </font>
    <font>
      <sz val="7.0"/>
      <color theme="1"/>
      <name val="Arial"/>
    </font>
    <font>
      <b/>
      <sz val="10.0"/>
      <color rgb="FFFFFFFF"/>
      <name val="PT Sans"/>
    </font>
    <font>
      <sz val="10.0"/>
      <color theme="1"/>
      <name val="PT Sans"/>
    </font>
    <font>
      <b/>
      <sz val="10.0"/>
      <color theme="1"/>
      <name val="PT Sans"/>
    </font>
    <font>
      <sz val="10.0"/>
      <color rgb="FFFFFFFF"/>
      <name val="PT Sans"/>
    </font>
    <font>
      <u/>
      <sz val="10.0"/>
      <color theme="1"/>
      <name val="PT Sans"/>
    </font>
    <font>
      <b/>
      <sz val="12.0"/>
      <color theme="1"/>
      <name val="PT Sans"/>
    </font>
    <font>
      <sz val="10.0"/>
      <color theme="1"/>
      <name val="Arial"/>
    </font>
    <font>
      <u/>
      <sz val="10.0"/>
      <color rgb="FF1155CC"/>
      <name val="PT Sans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8ADA"/>
        <bgColor rgb="FFFF8ADA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theme="9"/>
        <bgColor theme="9"/>
      </patternFill>
    </fill>
  </fills>
  <borders count="100">
    <border/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top style="thin">
        <color rgb="FF666666"/>
      </top>
    </border>
    <border>
      <left style="thin">
        <color rgb="FFDB5798"/>
      </left>
      <right style="thin">
        <color rgb="FFDB5798"/>
      </right>
      <top style="thin">
        <color rgb="FFDB5798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left style="thin">
        <color rgb="FFFFFFFF"/>
      </left>
      <right/>
      <top style="thin">
        <color rgb="FF000000"/>
      </top>
    </border>
    <border>
      <left style="thin">
        <color rgb="FFFF8ADA"/>
      </left>
      <right style="thin">
        <color rgb="FFFF8ADA"/>
      </right>
      <top style="thin">
        <color rgb="FFFF8ADA"/>
      </top>
      <bottom style="thin">
        <color rgb="FFFF8ADA"/>
      </bottom>
    </border>
    <border>
      <right style="thin">
        <color rgb="FFFFFFFF"/>
      </right>
      <top/>
    </border>
    <border>
      <left/>
      <right style="thin">
        <color rgb="FFFFFFFF"/>
      </right>
      <top/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top/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/>
    </border>
    <border>
      <left/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/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/>
      <right style="thin">
        <color rgb="FFFFFFFF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FFFFFF"/>
      </left>
      <top/>
      <bottom style="thin">
        <color rgb="FFFFFFFF"/>
      </bottom>
    </border>
    <border>
      <left/>
      <top style="thin">
        <color rgb="FFFFFFFF"/>
      </top>
      <bottom/>
    </border>
    <border>
      <top style="thin">
        <color rgb="FFFFFFFF"/>
      </top>
      <bottom/>
    </border>
    <border>
      <right style="thin">
        <color rgb="FFFFFFFF"/>
      </right>
      <top style="thin">
        <color rgb="FFFFFFFF"/>
      </top>
      <bottom/>
    </border>
    <border>
      <left style="thin">
        <color rgb="FFDB5798"/>
      </left>
      <right style="thin">
        <color rgb="FFEFEFEF"/>
      </right>
      <top style="thin">
        <color rgb="FF000000"/>
      </top>
      <bottom style="thin">
        <color rgb="FFEFEFEF"/>
      </bottom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top/>
      <bottom/>
    </border>
    <border>
      <left style="thin">
        <color rgb="FFFFFFFF"/>
      </left>
      <right/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DB5798"/>
      </left>
      <right style="thin">
        <color rgb="FFEFEFEF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bottom style="thin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/>
      <bottom style="thin">
        <color rgb="FFFFFFFF"/>
      </bottom>
    </border>
    <border>
      <left/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/>
      <top style="thin">
        <color rgb="FFEFEFEF"/>
      </top>
      <bottom style="thin">
        <color rgb="FFEFEFEF"/>
      </bottom>
    </border>
    <border>
      <left style="thin">
        <color rgb="FFFFFFFF"/>
      </left>
      <right/>
      <top style="thin">
        <color rgb="FFFFFFF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/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/>
      <top style="thin">
        <color rgb="FF666666"/>
      </top>
      <bottom style="thin">
        <color rgb="FF666666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top/>
      <bottom/>
    </border>
    <border>
      <top/>
      <bottom/>
    </border>
    <border>
      <right style="thin">
        <color rgb="FFFFFFFF"/>
      </right>
      <top/>
      <bottom/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/>
      <bottom style="thin">
        <color rgb="FFFFFFFF"/>
      </bottom>
    </border>
    <border>
      <bottom style="thin">
        <color rgb="FFFFFFFF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FFFFFF"/>
      </bottom>
    </border>
    <border>
      <left style="thin">
        <color rgb="FFFFFFFF"/>
      </left>
      <right/>
      <top/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FFFFFF"/>
      </left>
      <right/>
      <top style="thin">
        <color rgb="FF000000"/>
      </top>
      <bottom style="thin">
        <color rgb="FF000000"/>
      </bottom>
    </border>
    <border>
      <right/>
    </border>
    <border>
      <left style="thin">
        <color rgb="FFFFFFFF"/>
      </left>
      <right style="thin">
        <color rgb="FFFFFFFF"/>
      </right>
      <top/>
      <bottom/>
    </border>
    <border>
      <right/>
      <top style="thin">
        <color rgb="FFFFFFFF"/>
      </top>
      <bottom style="thin">
        <color rgb="FFFFFFFF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top style="thin">
        <color rgb="FF000000"/>
      </top>
      <bottom style="thin">
        <color rgb="FFEFEFEF"/>
      </bottom>
    </border>
    <border>
      <left style="thin">
        <color rgb="FFEFEFEF"/>
      </left>
      <right/>
      <bottom style="thin">
        <color rgb="FFEFEFEF"/>
      </bottom>
    </border>
    <border>
      <right/>
      <bottom/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1" numFmtId="3" xfId="0" applyAlignment="1" applyBorder="1" applyFont="1" applyNumberFormat="1">
      <alignment vertical="center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4" numFmtId="3" xfId="0" applyAlignment="1" applyBorder="1" applyFont="1" applyNumberFormat="1">
      <alignment horizontal="right" shrinkToFit="0" vertical="center" wrapText="1"/>
    </xf>
    <xf borderId="4" fillId="0" fontId="5" numFmtId="0" xfId="0" applyBorder="1" applyFont="1"/>
    <xf borderId="5" fillId="0" fontId="6" numFmtId="3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6" fillId="2" fontId="8" numFmtId="3" xfId="0" applyAlignment="1" applyBorder="1" applyFill="1" applyFont="1" applyNumberFormat="1">
      <alignment horizontal="center"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2" fillId="0" fontId="6" numFmtId="9" xfId="0" applyAlignment="1" applyBorder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2" fillId="0" fontId="9" numFmtId="10" xfId="0" applyAlignment="1" applyBorder="1" applyFont="1" applyNumberFormat="1">
      <alignment horizontal="center" shrinkToFit="0" vertical="center" wrapText="1"/>
    </xf>
    <xf borderId="3" fillId="0" fontId="4" numFmtId="3" xfId="0" applyAlignment="1" applyBorder="1" applyFont="1" applyNumberFormat="1">
      <alignment horizontal="center" shrinkToFit="0" vertical="center" wrapText="1"/>
    </xf>
    <xf borderId="2" fillId="0" fontId="9" numFmtId="3" xfId="0" applyAlignment="1" applyBorder="1" applyFont="1" applyNumberFormat="1">
      <alignment horizontal="center" shrinkToFit="0" vertical="center" wrapText="1"/>
    </xf>
    <xf borderId="3" fillId="3" fontId="10" numFmtId="3" xfId="0" applyAlignment="1" applyBorder="1" applyFill="1" applyFont="1" applyNumberFormat="1">
      <alignment horizontal="center" shrinkToFit="0" vertical="center" wrapText="1"/>
    </xf>
    <xf borderId="1" fillId="0" fontId="5" numFmtId="0" xfId="0" applyBorder="1" applyFont="1"/>
    <xf borderId="7" fillId="3" fontId="10" numFmtId="3" xfId="0" applyAlignment="1" applyBorder="1" applyFont="1" applyNumberFormat="1">
      <alignment horizontal="center" shrinkToFit="0" vertical="center" wrapText="1"/>
    </xf>
    <xf borderId="8" fillId="3" fontId="10" numFmtId="3" xfId="0" applyAlignment="1" applyBorder="1" applyFont="1" applyNumberFormat="1">
      <alignment horizontal="center" shrinkToFit="0" vertical="center" wrapText="1"/>
    </xf>
    <xf borderId="9" fillId="3" fontId="10" numFmtId="3" xfId="0" applyAlignment="1" applyBorder="1" applyFont="1" applyNumberFormat="1">
      <alignment horizontal="center" shrinkToFit="0" vertical="center" wrapText="1"/>
    </xf>
    <xf borderId="7" fillId="0" fontId="5" numFmtId="0" xfId="0" applyBorder="1" applyFont="1"/>
    <xf borderId="10" fillId="3" fontId="10" numFmtId="3" xfId="0" applyAlignment="1" applyBorder="1" applyFont="1" applyNumberFormat="1">
      <alignment horizontal="center" shrinkToFit="0" vertical="center" wrapText="1"/>
    </xf>
    <xf borderId="11" fillId="2" fontId="11" numFmtId="3" xfId="0" applyAlignment="1" applyBorder="1" applyFont="1" applyNumberFormat="1">
      <alignment vertical="center"/>
    </xf>
    <xf borderId="12" fillId="2" fontId="10" numFmtId="3" xfId="0" applyAlignment="1" applyBorder="1" applyFont="1" applyNumberFormat="1">
      <alignment horizontal="center" shrinkToFit="0" vertical="center" wrapText="1"/>
    </xf>
    <xf borderId="13" fillId="2" fontId="10" numFmtId="3" xfId="0" applyAlignment="1" applyBorder="1" applyFont="1" applyNumberFormat="1">
      <alignment horizontal="center" shrinkToFit="0" vertical="center" wrapText="1"/>
    </xf>
    <xf borderId="14" fillId="2" fontId="10" numFmtId="3" xfId="0" applyAlignment="1" applyBorder="1" applyFont="1" applyNumberFormat="1">
      <alignment horizontal="center" shrinkToFit="0" vertical="center" wrapText="1"/>
    </xf>
    <xf borderId="15" fillId="2" fontId="10" numFmtId="3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14" fillId="4" fontId="10" numFmtId="3" xfId="0" applyAlignment="1" applyBorder="1" applyFill="1" applyFont="1" applyNumberFormat="1">
      <alignment horizontal="center" shrinkToFit="0" vertical="center" wrapText="1"/>
    </xf>
    <xf borderId="15" fillId="4" fontId="10" numFmtId="3" xfId="0" applyAlignment="1" applyBorder="1" applyFont="1" applyNumberFormat="1">
      <alignment horizontal="center" shrinkToFit="0" vertical="center" wrapText="1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" fillId="3" fontId="10" numFmtId="3" xfId="0" applyAlignment="1" applyBorder="1" applyFont="1" applyNumberFormat="1">
      <alignment horizontal="center" shrinkToFit="0" vertical="center" wrapText="1"/>
    </xf>
    <xf borderId="2" fillId="2" fontId="10" numFmtId="3" xfId="0" applyAlignment="1" applyBorder="1" applyFont="1" applyNumberForma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17" fillId="0" fontId="1" numFmtId="3" xfId="0" applyAlignment="1" applyBorder="1" applyFont="1" applyNumberFormat="1">
      <alignment vertical="center"/>
    </xf>
    <xf borderId="18" fillId="0" fontId="1" numFmtId="3" xfId="0" applyAlignment="1" applyBorder="1" applyFont="1" applyNumberFormat="1">
      <alignment vertical="center"/>
    </xf>
    <xf borderId="16" fillId="0" fontId="1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11" fillId="2" fontId="1" numFmtId="3" xfId="0" applyAlignment="1" applyBorder="1" applyFont="1" applyNumberFormat="1">
      <alignment vertical="center"/>
    </xf>
    <xf borderId="28" fillId="3" fontId="10" numFmtId="3" xfId="0" applyAlignment="1" applyBorder="1" applyFont="1" applyNumberFormat="1">
      <alignment horizontal="left" shrinkToFit="0" vertical="center" wrapText="1"/>
    </xf>
    <xf borderId="29" fillId="0" fontId="5" numFmtId="0" xfId="0" applyBorder="1" applyFont="1"/>
    <xf borderId="30" fillId="0" fontId="5" numFmtId="0" xfId="0" applyBorder="1" applyFont="1"/>
    <xf borderId="31" fillId="3" fontId="12" numFmtId="3" xfId="0" applyAlignment="1" applyBorder="1" applyFont="1" applyNumberFormat="1">
      <alignment horizontal="left" shrinkToFit="0" vertical="center" wrapText="1"/>
    </xf>
    <xf borderId="32" fillId="3" fontId="12" numFmtId="3" xfId="0" applyAlignment="1" applyBorder="1" applyFont="1" applyNumberFormat="1">
      <alignment horizontal="center" shrinkToFit="0" vertical="center" wrapText="1"/>
    </xf>
    <xf borderId="33" fillId="3" fontId="12" numFmtId="3" xfId="0" applyAlignment="1" applyBorder="1" applyFont="1" applyNumberFormat="1">
      <alignment horizontal="left" shrinkToFit="0" vertical="center" wrapText="1"/>
    </xf>
    <xf borderId="30" fillId="3" fontId="12" numFmtId="3" xfId="0" applyAlignment="1" applyBorder="1" applyFont="1" applyNumberFormat="1">
      <alignment horizontal="left" shrinkToFit="0" vertical="center" wrapText="1"/>
    </xf>
    <xf borderId="34" fillId="5" fontId="11" numFmtId="3" xfId="0" applyAlignment="1" applyBorder="1" applyFill="1" applyFont="1" applyNumberFormat="1">
      <alignment vertical="center"/>
    </xf>
    <xf borderId="35" fillId="6" fontId="13" numFmtId="3" xfId="0" applyAlignment="1" applyBorder="1" applyFill="1" applyFont="1" applyNumberFormat="1">
      <alignment vertical="center"/>
    </xf>
    <xf borderId="36" fillId="0" fontId="5" numFmtId="0" xfId="0" applyBorder="1" applyFont="1"/>
    <xf borderId="37" fillId="0" fontId="5" numFmtId="0" xfId="0" applyBorder="1" applyFont="1"/>
    <xf borderId="38" fillId="0" fontId="11" numFmtId="3" xfId="0" applyAlignment="1" applyBorder="1" applyFont="1" applyNumberFormat="1">
      <alignment horizontal="center" shrinkToFit="0" wrapText="1"/>
    </xf>
    <xf borderId="0" fillId="0" fontId="11" numFmtId="3" xfId="0" applyAlignment="1" applyFont="1" applyNumberFormat="1">
      <alignment horizontal="center" shrinkToFit="0" vertical="center" wrapText="1"/>
    </xf>
    <xf borderId="39" fillId="0" fontId="11" numFmtId="3" xfId="0" applyAlignment="1" applyBorder="1" applyFont="1" applyNumberFormat="1">
      <alignment horizontal="center" shrinkToFit="0" wrapText="1"/>
    </xf>
    <xf borderId="39" fillId="0" fontId="11" numFmtId="3" xfId="0" applyAlignment="1" applyBorder="1" applyFont="1" applyNumberFormat="1">
      <alignment horizontal="center" readingOrder="0" shrinkToFit="0" wrapText="1"/>
    </xf>
    <xf borderId="40" fillId="0" fontId="13" numFmtId="3" xfId="0" applyAlignment="1" applyBorder="1" applyFont="1" applyNumberFormat="1">
      <alignment horizontal="center" shrinkToFit="0" vertical="center" wrapText="1"/>
    </xf>
    <xf borderId="40" fillId="0" fontId="13" numFmtId="9" xfId="0" applyAlignment="1" applyBorder="1" applyFont="1" applyNumberFormat="1">
      <alignment horizontal="center" shrinkToFit="0" vertical="center" wrapText="1"/>
    </xf>
    <xf borderId="41" fillId="6" fontId="13" numFmtId="3" xfId="0" applyAlignment="1" applyBorder="1" applyFont="1" applyNumberFormat="1">
      <alignment horizontal="center" shrinkToFit="0" vertical="center" wrapText="1"/>
    </xf>
    <xf borderId="0" fillId="0" fontId="11" numFmtId="3" xfId="0" applyAlignment="1" applyFont="1" applyNumberFormat="1">
      <alignment horizontal="center" vertical="center"/>
    </xf>
    <xf borderId="42" fillId="6" fontId="13" numFmtId="3" xfId="0" applyAlignment="1" applyBorder="1" applyFont="1" applyNumberFormat="1">
      <alignment horizontal="center" shrinkToFit="0" vertical="center" wrapText="1"/>
    </xf>
    <xf borderId="43" fillId="5" fontId="11" numFmtId="3" xfId="0" applyAlignment="1" applyBorder="1" applyFont="1" applyNumberFormat="1">
      <alignment vertical="center"/>
    </xf>
    <xf borderId="44" fillId="0" fontId="11" numFmtId="3" xfId="0" applyAlignment="1" applyBorder="1" applyFont="1" applyNumberFormat="1">
      <alignment horizontal="center" shrinkToFit="0" wrapText="1"/>
    </xf>
    <xf borderId="45" fillId="0" fontId="11" numFmtId="3" xfId="0" applyAlignment="1" applyBorder="1" applyFont="1" applyNumberFormat="1">
      <alignment horizontal="center" shrinkToFit="0" wrapText="1"/>
    </xf>
    <xf borderId="45" fillId="0" fontId="11" numFmtId="3" xfId="0" applyAlignment="1" applyBorder="1" applyFont="1" applyNumberFormat="1">
      <alignment horizontal="center" readingOrder="0" shrinkToFit="0" wrapText="1"/>
    </xf>
    <xf borderId="46" fillId="0" fontId="11" numFmtId="3" xfId="0" applyAlignment="1" applyBorder="1" applyFont="1" applyNumberFormat="1">
      <alignment horizontal="center" shrinkToFit="0" vertical="bottom" wrapText="1"/>
    </xf>
    <xf borderId="35" fillId="6" fontId="13" numFmtId="3" xfId="0" applyAlignment="1" applyBorder="1" applyFont="1" applyNumberFormat="1">
      <alignment readingOrder="0" vertical="center"/>
    </xf>
    <xf borderId="46" fillId="0" fontId="11" numFmtId="3" xfId="0" applyAlignment="1" applyBorder="1" applyFont="1" applyNumberFormat="1">
      <alignment horizontal="center" shrinkToFit="0" wrapText="1"/>
    </xf>
    <xf borderId="47" fillId="5" fontId="11" numFmtId="3" xfId="0" applyAlignment="1" applyBorder="1" applyFont="1" applyNumberFormat="1">
      <alignment vertical="center"/>
    </xf>
    <xf borderId="48" fillId="5" fontId="11" numFmtId="3" xfId="0" applyAlignment="1" applyBorder="1" applyFont="1" applyNumberFormat="1">
      <alignment vertical="center"/>
    </xf>
    <xf borderId="49" fillId="5" fontId="11" numFmtId="3" xfId="0" applyAlignment="1" applyBorder="1" applyFont="1" applyNumberFormat="1">
      <alignment vertical="center"/>
    </xf>
    <xf borderId="50" fillId="6" fontId="11" numFmtId="3" xfId="0" applyAlignment="1" applyBorder="1" applyFont="1" applyNumberFormat="1">
      <alignment vertical="center"/>
    </xf>
    <xf borderId="45" fillId="6" fontId="11" numFmtId="3" xfId="0" applyAlignment="1" applyBorder="1" applyFont="1" applyNumberFormat="1">
      <alignment vertical="center"/>
    </xf>
    <xf borderId="40" fillId="6" fontId="11" numFmtId="3" xfId="0" applyAlignment="1" applyBorder="1" applyFont="1" applyNumberFormat="1">
      <alignment vertical="center"/>
    </xf>
    <xf borderId="40" fillId="6" fontId="11" numFmtId="3" xfId="0" applyAlignment="1" applyBorder="1" applyFont="1" applyNumberFormat="1">
      <alignment horizontal="right" vertical="center"/>
    </xf>
    <xf borderId="51" fillId="6" fontId="13" numFmtId="3" xfId="0" applyAlignment="1" applyBorder="1" applyFont="1" applyNumberFormat="1">
      <alignment horizontal="right" vertical="center"/>
    </xf>
    <xf borderId="52" fillId="6" fontId="11" numFmtId="3" xfId="0" applyAlignment="1" applyBorder="1" applyFont="1" applyNumberFormat="1">
      <alignment horizontal="center" vertical="center"/>
    </xf>
    <xf borderId="53" fillId="6" fontId="11" numFmtId="3" xfId="0" applyAlignment="1" applyBorder="1" applyFont="1" applyNumberFormat="1">
      <alignment vertical="center"/>
    </xf>
    <xf borderId="54" fillId="6" fontId="11" numFmtId="3" xfId="0" applyAlignment="1" applyBorder="1" applyFont="1" applyNumberFormat="1">
      <alignment vertical="center"/>
    </xf>
    <xf borderId="55" fillId="3" fontId="12" numFmtId="3" xfId="0" applyAlignment="1" applyBorder="1" applyFont="1" applyNumberFormat="1">
      <alignment horizontal="left" shrinkToFit="0" vertical="center" wrapText="1"/>
    </xf>
    <xf borderId="28" fillId="3" fontId="12" numFmtId="3" xfId="0" applyAlignment="1" applyBorder="1" applyFont="1" applyNumberFormat="1">
      <alignment horizontal="center" shrinkToFit="0" vertical="center" wrapText="1"/>
    </xf>
    <xf borderId="30" fillId="3" fontId="10" numFmtId="3" xfId="0" applyAlignment="1" applyBorder="1" applyFont="1" applyNumberFormat="1">
      <alignment horizontal="left" shrinkToFit="0" vertical="center" wrapText="1"/>
    </xf>
    <xf borderId="31" fillId="3" fontId="10" numFmtId="3" xfId="0" applyAlignment="1" applyBorder="1" applyFont="1" applyNumberFormat="1">
      <alignment horizontal="left" shrinkToFit="0" vertical="center" wrapText="1"/>
    </xf>
    <xf borderId="32" fillId="3" fontId="10" numFmtId="3" xfId="0" applyAlignment="1" applyBorder="1" applyFont="1" applyNumberFormat="1">
      <alignment horizontal="center" shrinkToFit="0" vertical="center" wrapText="1"/>
    </xf>
    <xf borderId="56" fillId="5" fontId="11" numFmtId="3" xfId="0" applyAlignment="1" applyBorder="1" applyFont="1" applyNumberFormat="1">
      <alignment vertical="center"/>
    </xf>
    <xf borderId="57" fillId="7" fontId="10" numFmtId="3" xfId="0" applyAlignment="1" applyBorder="1" applyFill="1" applyFont="1" applyNumberFormat="1">
      <alignment horizontal="left" shrinkToFit="0" vertical="center" wrapText="1"/>
    </xf>
    <xf borderId="58" fillId="0" fontId="5" numFmtId="0" xfId="0" applyBorder="1" applyFont="1"/>
    <xf borderId="59" fillId="0" fontId="5" numFmtId="0" xfId="0" applyBorder="1" applyFont="1"/>
    <xf borderId="60" fillId="7" fontId="12" numFmtId="3" xfId="0" applyAlignment="1" applyBorder="1" applyFont="1" applyNumberFormat="1">
      <alignment horizontal="left" shrinkToFit="0" vertical="center" wrapText="1"/>
    </xf>
    <xf borderId="59" fillId="7" fontId="12" numFmtId="3" xfId="0" applyAlignment="1" applyBorder="1" applyFont="1" applyNumberFormat="1">
      <alignment horizontal="left" shrinkToFit="0" vertical="center" wrapText="1"/>
    </xf>
    <xf borderId="61" fillId="7" fontId="12" numFmtId="3" xfId="0" applyAlignment="1" applyBorder="1" applyFont="1" applyNumberFormat="1">
      <alignment horizontal="left" shrinkToFit="0" vertical="center" wrapText="1"/>
    </xf>
    <xf borderId="62" fillId="7" fontId="12" numFmtId="3" xfId="0" applyAlignment="1" applyBorder="1" applyFont="1" applyNumberFormat="1">
      <alignment horizontal="center" shrinkToFit="0" vertical="center" wrapText="1"/>
    </xf>
    <xf borderId="57" fillId="7" fontId="12" numFmtId="3" xfId="0" applyAlignment="1" applyBorder="1" applyFont="1" applyNumberFormat="1">
      <alignment horizontal="left" shrinkToFit="0" vertical="center" wrapText="1"/>
    </xf>
    <xf borderId="59" fillId="7" fontId="10" numFmtId="3" xfId="0" applyAlignment="1" applyBorder="1" applyFont="1" applyNumberFormat="1">
      <alignment horizontal="left" shrinkToFit="0" vertical="center" wrapText="1"/>
    </xf>
    <xf borderId="61" fillId="7" fontId="10" numFmtId="3" xfId="0" applyAlignment="1" applyBorder="1" applyFont="1" applyNumberFormat="1">
      <alignment horizontal="left" shrinkToFit="0" vertical="center" wrapText="1"/>
    </xf>
    <xf borderId="62" fillId="7" fontId="10" numFmtId="3" xfId="0" applyAlignment="1" applyBorder="1" applyFont="1" applyNumberFormat="1">
      <alignment horizontal="center" shrinkToFit="0" vertical="center" wrapText="1"/>
    </xf>
    <xf borderId="63" fillId="6" fontId="13" numFmtId="3" xfId="0" applyAlignment="1" applyBorder="1" applyFont="1" applyNumberFormat="1">
      <alignment vertical="center"/>
    </xf>
    <xf borderId="64" fillId="0" fontId="5" numFmtId="0" xfId="0" applyBorder="1" applyFont="1"/>
    <xf borderId="65" fillId="0" fontId="5" numFmtId="0" xfId="0" applyBorder="1" applyFont="1"/>
    <xf borderId="45" fillId="0" fontId="13" numFmtId="3" xfId="0" applyAlignment="1" applyBorder="1" applyFont="1" applyNumberFormat="1">
      <alignment horizontal="center" shrinkToFit="0" vertical="center" wrapText="1"/>
    </xf>
    <xf borderId="66" fillId="0" fontId="13" numFmtId="3" xfId="0" applyAlignment="1" applyBorder="1" applyFont="1" applyNumberFormat="1">
      <alignment horizontal="center" shrinkToFit="0" vertical="center" wrapText="1"/>
    </xf>
    <xf borderId="66" fillId="0" fontId="13" numFmtId="3" xfId="0" applyAlignment="1" applyBorder="1" applyFont="1" applyNumberFormat="1">
      <alignment horizontal="center" readingOrder="0" shrinkToFit="0" vertical="center" wrapText="1"/>
    </xf>
    <xf borderId="67" fillId="6" fontId="13" numFmtId="3" xfId="0" applyAlignment="1" applyBorder="1" applyFont="1" applyNumberFormat="1">
      <alignment vertical="center"/>
    </xf>
    <xf borderId="68" fillId="0" fontId="5" numFmtId="0" xfId="0" applyBorder="1" applyFont="1"/>
    <xf borderId="69" fillId="0" fontId="5" numFmtId="0" xfId="0" applyBorder="1" applyFont="1"/>
    <xf borderId="54" fillId="0" fontId="13" numFmtId="3" xfId="0" applyAlignment="1" applyBorder="1" applyFont="1" applyNumberFormat="1">
      <alignment horizontal="center" shrinkToFit="0" vertical="center" wrapText="1"/>
    </xf>
    <xf borderId="40" fillId="0" fontId="13" numFmtId="3" xfId="0" applyAlignment="1" applyBorder="1" applyFont="1" applyNumberFormat="1">
      <alignment horizontal="center" readingOrder="0" shrinkToFit="0" vertical="center" wrapText="1"/>
    </xf>
    <xf borderId="55" fillId="3" fontId="10" numFmtId="3" xfId="0" applyAlignment="1" applyBorder="1" applyFont="1" applyNumberFormat="1">
      <alignment horizontal="left" shrinkToFit="0" vertical="center" wrapText="1"/>
    </xf>
    <xf borderId="28" fillId="3" fontId="10" numFmtId="3" xfId="0" applyAlignment="1" applyBorder="1" applyFont="1" applyNumberFormat="1">
      <alignment horizontal="center" shrinkToFit="0" vertical="center" wrapText="1"/>
    </xf>
    <xf borderId="70" fillId="5" fontId="11" numFmtId="3" xfId="0" applyAlignment="1" applyBorder="1" applyFont="1" applyNumberFormat="1">
      <alignment vertical="center"/>
    </xf>
    <xf borderId="71" fillId="6" fontId="13" numFmtId="3" xfId="0" applyAlignment="1" applyBorder="1" applyFont="1" applyNumberFormat="1">
      <alignment vertical="center"/>
    </xf>
    <xf borderId="72" fillId="0" fontId="5" numFmtId="0" xfId="0" applyBorder="1" applyFont="1"/>
    <xf borderId="73" fillId="0" fontId="5" numFmtId="0" xfId="0" applyBorder="1" applyFont="1"/>
    <xf borderId="74" fillId="0" fontId="13" numFmtId="3" xfId="0" applyAlignment="1" applyBorder="1" applyFont="1" applyNumberFormat="1">
      <alignment horizontal="center" shrinkToFit="0" vertical="center" wrapText="1"/>
    </xf>
    <xf borderId="75" fillId="0" fontId="13" numFmtId="3" xfId="0" applyAlignment="1" applyBorder="1" applyFont="1" applyNumberFormat="1">
      <alignment horizontal="center" shrinkToFit="0" vertical="center" wrapText="1"/>
    </xf>
    <xf borderId="19" fillId="5" fontId="11" numFmtId="3" xfId="0" applyAlignment="1" applyBorder="1" applyFont="1" applyNumberFormat="1">
      <alignment vertical="center"/>
    </xf>
    <xf borderId="60" fillId="7" fontId="10" numFmtId="3" xfId="0" applyAlignment="1" applyBorder="1" applyFont="1" applyNumberFormat="1">
      <alignment horizontal="left" shrinkToFit="0" vertical="center" wrapText="1"/>
    </xf>
    <xf borderId="57" fillId="7" fontId="10" numFmtId="3" xfId="0" applyAlignment="1" applyBorder="1" applyFont="1" applyNumberFormat="1">
      <alignment horizontal="center" shrinkToFit="0" vertical="center" wrapText="1"/>
    </xf>
    <xf borderId="76" fillId="0" fontId="13" numFmtId="3" xfId="0" applyAlignment="1" applyBorder="1" applyFont="1" applyNumberFormat="1">
      <alignment horizontal="center" shrinkToFit="0" vertical="center" wrapText="1"/>
    </xf>
    <xf borderId="77" fillId="0" fontId="13" numFmtId="3" xfId="0" applyAlignment="1" applyBorder="1" applyFont="1" applyNumberFormat="1">
      <alignment horizontal="center" readingOrder="0" shrinkToFit="0" vertical="center" wrapText="1"/>
    </xf>
    <xf borderId="77" fillId="0" fontId="13" numFmtId="3" xfId="0" applyAlignment="1" applyBorder="1" applyFont="1" applyNumberFormat="1">
      <alignment horizontal="center" shrinkToFit="0" vertical="center" wrapText="1"/>
    </xf>
    <xf borderId="78" fillId="6" fontId="13" numFmtId="3" xfId="0" applyAlignment="1" applyBorder="1" applyFont="1" applyNumberFormat="1">
      <alignment vertical="center"/>
    </xf>
    <xf borderId="79" fillId="0" fontId="5" numFmtId="0" xfId="0" applyBorder="1" applyFont="1"/>
    <xf borderId="80" fillId="7" fontId="10" numFmtId="3" xfId="0" applyAlignment="1" applyBorder="1" applyFont="1" applyNumberFormat="1">
      <alignment horizontal="left" shrinkToFit="0" vertical="center" wrapText="1"/>
    </xf>
    <xf borderId="5" fillId="0" fontId="5" numFmtId="0" xfId="0" applyBorder="1" applyFont="1"/>
    <xf borderId="81" fillId="0" fontId="5" numFmtId="0" xfId="0" applyBorder="1" applyFont="1"/>
    <xf borderId="67" fillId="6" fontId="11" numFmtId="3" xfId="0" applyAlignment="1" applyBorder="1" applyFont="1" applyNumberFormat="1">
      <alignment vertical="bottom"/>
    </xf>
    <xf borderId="78" fillId="6" fontId="11" numFmtId="3" xfId="0" applyAlignment="1" applyBorder="1" applyFont="1" applyNumberFormat="1">
      <alignment vertical="bottom"/>
    </xf>
    <xf borderId="63" fillId="6" fontId="11" numFmtId="3" xfId="0" applyAlignment="1" applyBorder="1" applyFont="1" applyNumberFormat="1">
      <alignment vertical="bottom"/>
    </xf>
    <xf borderId="82" fillId="7" fontId="10" numFmtId="3" xfId="0" applyAlignment="1" applyBorder="1" applyFont="1" applyNumberFormat="1">
      <alignment horizontal="left" shrinkToFit="0" vertical="center" wrapText="1"/>
    </xf>
    <xf borderId="83" fillId="0" fontId="5" numFmtId="0" xfId="0" applyBorder="1" applyFont="1"/>
    <xf borderId="84" fillId="0" fontId="5" numFmtId="0" xfId="0" applyBorder="1" applyFont="1"/>
    <xf borderId="85" fillId="0" fontId="13" numFmtId="3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47" fillId="0" fontId="11" numFmtId="3" xfId="0" applyAlignment="1" applyBorder="1" applyFont="1" applyNumberFormat="1">
      <alignment vertical="center"/>
    </xf>
    <xf borderId="56" fillId="5" fontId="11" numFmtId="3" xfId="0" applyAlignment="1" applyBorder="1" applyFont="1" applyNumberFormat="1">
      <alignment horizontal="center" vertical="center"/>
    </xf>
    <xf borderId="69" fillId="0" fontId="11" numFmtId="3" xfId="0" applyAlignment="1" applyBorder="1" applyFont="1" applyNumberFormat="1">
      <alignment vertical="center"/>
    </xf>
    <xf borderId="43" fillId="0" fontId="11" numFmtId="3" xfId="0" applyAlignment="1" applyBorder="1" applyFont="1" applyNumberFormat="1">
      <alignment horizontal="center" vertical="center"/>
    </xf>
    <xf borderId="47" fillId="5" fontId="13" numFmtId="3" xfId="0" applyAlignment="1" applyBorder="1" applyFont="1" applyNumberFormat="1">
      <alignment horizontal="right" shrinkToFit="0" vertical="center" wrapText="1"/>
    </xf>
    <xf borderId="47" fillId="5" fontId="11" numFmtId="0" xfId="0" applyAlignment="1" applyBorder="1" applyFont="1">
      <alignment vertical="center"/>
    </xf>
    <xf borderId="56" fillId="5" fontId="13" numFmtId="3" xfId="0" applyAlignment="1" applyBorder="1" applyFont="1" applyNumberFormat="1">
      <alignment horizontal="right" vertical="center"/>
    </xf>
    <xf borderId="86" fillId="6" fontId="13" numFmtId="3" xfId="0" applyAlignment="1" applyBorder="1" applyFont="1" applyNumberFormat="1">
      <alignment horizontal="center" shrinkToFit="0" vertical="center" wrapText="1"/>
    </xf>
    <xf borderId="69" fillId="5" fontId="13" numFmtId="3" xfId="0" applyAlignment="1" applyBorder="1" applyFont="1" applyNumberFormat="1">
      <alignment horizontal="right" shrinkToFit="0" vertical="center" wrapText="1"/>
    </xf>
    <xf borderId="56" fillId="6" fontId="13" numFmtId="3" xfId="0" applyAlignment="1" applyBorder="1" applyFont="1" applyNumberFormat="1">
      <alignment horizontal="center" shrinkToFit="0" vertical="center" wrapText="1"/>
    </xf>
    <xf borderId="87" fillId="5" fontId="13" numFmtId="3" xfId="0" applyAlignment="1" applyBorder="1" applyFont="1" applyNumberFormat="1">
      <alignment horizontal="right" vertical="center"/>
    </xf>
    <xf borderId="87" fillId="5" fontId="13" numFmtId="3" xfId="0" applyAlignment="1" applyBorder="1" applyFont="1" applyNumberFormat="1">
      <alignment horizontal="right" shrinkToFit="0" vertical="center" wrapText="1"/>
    </xf>
    <xf borderId="88" fillId="6" fontId="13" numFmtId="9" xfId="0" applyAlignment="1" applyBorder="1" applyFont="1" applyNumberFormat="1">
      <alignment horizontal="center" shrinkToFit="0" vertical="center" wrapText="1"/>
    </xf>
    <xf borderId="88" fillId="6" fontId="13" numFmtId="3" xfId="0" applyAlignment="1" applyBorder="1" applyFont="1" applyNumberFormat="1">
      <alignment horizontal="center" shrinkToFit="0" vertical="center" wrapText="1"/>
    </xf>
    <xf borderId="37" fillId="5" fontId="13" numFmtId="3" xfId="0" applyAlignment="1" applyBorder="1" applyFont="1" applyNumberFormat="1">
      <alignment horizontal="right" shrinkToFit="0" vertical="center" wrapText="1"/>
    </xf>
    <xf borderId="31" fillId="3" fontId="10" numFmtId="3" xfId="0" applyAlignment="1" applyBorder="1" applyFont="1" applyNumberFormat="1">
      <alignment horizontal="right" shrinkToFit="0" vertical="center" wrapText="1"/>
    </xf>
    <xf borderId="32" fillId="3" fontId="10" numFmtId="3" xfId="0" applyAlignment="1" applyBorder="1" applyFont="1" applyNumberFormat="1">
      <alignment horizontal="right" vertical="center"/>
    </xf>
    <xf borderId="89" fillId="3" fontId="8" numFmtId="3" xfId="0" applyAlignment="1" applyBorder="1" applyFont="1" applyNumberFormat="1">
      <alignment horizontal="center" shrinkToFit="0" vertical="center" wrapText="1"/>
    </xf>
    <xf borderId="30" fillId="3" fontId="10" numFmtId="3" xfId="0" applyAlignment="1" applyBorder="1" applyFont="1" applyNumberFormat="1">
      <alignment horizontal="right" shrinkToFit="0" vertical="center" wrapText="1"/>
    </xf>
    <xf borderId="70" fillId="5" fontId="13" numFmtId="3" xfId="0" applyAlignment="1" applyBorder="1" applyFont="1" applyNumberFormat="1">
      <alignment horizontal="right" shrinkToFit="0" vertical="center" wrapText="1"/>
    </xf>
    <xf borderId="70" fillId="5" fontId="13" numFmtId="3" xfId="0" applyAlignment="1" applyBorder="1" applyFont="1" applyNumberFormat="1">
      <alignment horizontal="right" vertical="center"/>
    </xf>
    <xf borderId="86" fillId="6" fontId="13" numFmtId="9" xfId="0" applyAlignment="1" applyBorder="1" applyFont="1" applyNumberFormat="1">
      <alignment horizontal="center" shrinkToFit="0" vertical="center" wrapText="1"/>
    </xf>
    <xf borderId="65" fillId="5" fontId="13" numFmtId="3" xfId="0" applyAlignment="1" applyBorder="1" applyFont="1" applyNumberFormat="1">
      <alignment horizontal="right" shrinkToFit="0" vertical="center" wrapText="1"/>
    </xf>
    <xf borderId="90" fillId="5" fontId="13" numFmtId="3" xfId="0" applyAlignment="1" applyBorder="1" applyFont="1" applyNumberFormat="1">
      <alignment horizontal="right" vertical="center"/>
    </xf>
    <xf borderId="32" fillId="3" fontId="8" numFmtId="3" xfId="0" applyAlignment="1" applyBorder="1" applyFont="1" applyNumberFormat="1">
      <alignment horizontal="right" vertical="center"/>
    </xf>
    <xf borderId="91" fillId="5" fontId="13" numFmtId="3" xfId="0" applyAlignment="1" applyBorder="1" applyFont="1" applyNumberFormat="1">
      <alignment horizontal="right" shrinkToFit="0" vertical="center" wrapText="1"/>
    </xf>
    <xf borderId="91" fillId="5" fontId="13" numFmtId="3" xfId="0" applyAlignment="1" applyBorder="1" applyFont="1" applyNumberFormat="1">
      <alignment horizontal="right" vertical="center"/>
    </xf>
    <xf borderId="73" fillId="5" fontId="13" numFmtId="3" xfId="0" applyAlignment="1" applyBorder="1" applyFont="1" applyNumberFormat="1">
      <alignment horizontal="right" shrinkToFit="0" vertical="center" wrapText="1"/>
    </xf>
    <xf borderId="89" fillId="3" fontId="15" numFmtId="3" xfId="0" applyAlignment="1" applyBorder="1" applyFont="1" applyNumberFormat="1">
      <alignment horizontal="center" shrinkToFit="0" vertical="center" wrapText="1"/>
    </xf>
    <xf borderId="92" fillId="5" fontId="13" numFmtId="3" xfId="0" applyAlignment="1" applyBorder="1" applyFont="1" applyNumberFormat="1">
      <alignment horizontal="right" vertical="center"/>
    </xf>
    <xf borderId="0" fillId="0" fontId="16" numFmtId="3" xfId="0" applyAlignment="1" applyFont="1" applyNumberFormat="1">
      <alignment horizontal="left" shrinkToFit="0" vertical="top" wrapText="1"/>
    </xf>
    <xf borderId="74" fillId="0" fontId="5" numFmtId="0" xfId="0" applyBorder="1" applyFont="1"/>
    <xf borderId="0" fillId="2" fontId="8" numFmtId="3" xfId="0" applyAlignment="1" applyFont="1" applyNumberFormat="1">
      <alignment horizontal="center" shrinkToFit="0" vertical="center" wrapText="1"/>
    </xf>
    <xf borderId="56" fillId="2" fontId="8" numFmtId="3" xfId="0" applyAlignment="1" applyBorder="1" applyFont="1" applyNumberFormat="1">
      <alignment horizontal="center" shrinkToFit="0" vertical="center" wrapText="1"/>
    </xf>
    <xf borderId="0" fillId="4" fontId="8" numFmtId="3" xfId="0" applyAlignment="1" applyFont="1" applyNumberFormat="1">
      <alignment horizontal="center" shrinkToFit="0" vertical="center" wrapText="1"/>
    </xf>
    <xf borderId="56" fillId="4" fontId="8" numFmtId="3" xfId="0" applyAlignment="1" applyBorder="1" applyFont="1" applyNumberFormat="1">
      <alignment horizontal="center" shrinkToFit="0" vertical="center" wrapText="1"/>
    </xf>
    <xf borderId="56" fillId="2" fontId="8" numFmtId="9" xfId="0" applyAlignment="1" applyBorder="1" applyFont="1" applyNumberFormat="1">
      <alignment horizontal="center" shrinkToFit="0" vertical="center" wrapText="1"/>
    </xf>
    <xf borderId="56" fillId="4" fontId="8" numFmtId="10" xfId="0" applyAlignment="1" applyBorder="1" applyFont="1" applyNumberFormat="1">
      <alignment horizontal="center" shrinkToFit="0" vertical="center" wrapText="1"/>
    </xf>
    <xf borderId="88" fillId="2" fontId="8" numFmtId="9" xfId="0" applyAlignment="1" applyBorder="1" applyFont="1" applyNumberFormat="1">
      <alignment horizontal="center" shrinkToFit="0" vertical="center" wrapText="1"/>
    </xf>
    <xf borderId="88" fillId="4" fontId="8" numFmtId="9" xfId="0" applyAlignment="1" applyBorder="1" applyFont="1" applyNumberFormat="1">
      <alignment horizontal="center" shrinkToFit="0" vertical="center" wrapText="1"/>
    </xf>
    <xf borderId="93" fillId="5" fontId="1" numFmtId="3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94" fillId="5" fontId="1" numFmtId="3" xfId="0" applyAlignment="1" applyBorder="1" applyFont="1" applyNumberFormat="1">
      <alignment vertical="center"/>
    </xf>
    <xf borderId="45" fillId="0" fontId="1" numFmtId="3" xfId="0" applyAlignment="1" applyBorder="1" applyFont="1" applyNumberFormat="1">
      <alignment horizontal="center" shrinkToFit="0" wrapText="1"/>
    </xf>
    <xf borderId="5" fillId="0" fontId="18" numFmtId="3" xfId="0" applyAlignment="1" applyBorder="1" applyFont="1" applyNumberFormat="1">
      <alignment horizontal="center" shrinkToFit="0" vertical="center" wrapText="1"/>
    </xf>
    <xf borderId="6" fillId="2" fontId="19" numFmtId="3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2" fillId="0" fontId="18" numFmtId="9" xfId="0" applyAlignment="1" applyBorder="1" applyFont="1" applyNumberFormat="1">
      <alignment horizontal="center" shrinkToFit="0" vertical="center" wrapText="1"/>
    </xf>
    <xf borderId="2" fillId="0" fontId="3" numFmtId="3" xfId="0" applyAlignment="1" applyBorder="1" applyFont="1" applyNumberFormat="1">
      <alignment horizontal="center" shrinkToFit="0" vertical="center" wrapText="1"/>
    </xf>
    <xf borderId="2" fillId="0" fontId="18" numFmtId="164" xfId="0" applyAlignment="1" applyBorder="1" applyFont="1" applyNumberFormat="1">
      <alignment horizontal="center" shrinkToFit="0" vertical="center" wrapText="1"/>
    </xf>
    <xf borderId="2" fillId="0" fontId="18" numFmtId="3" xfId="0" applyAlignment="1" applyBorder="1" applyFont="1" applyNumberFormat="1">
      <alignment horizontal="center" shrinkToFit="0" vertical="center" wrapText="1"/>
    </xf>
    <xf borderId="2" fillId="0" fontId="3" numFmtId="3" xfId="0" applyAlignment="1" applyBorder="1" applyFont="1" applyNumberFormat="1">
      <alignment vertical="center"/>
    </xf>
    <xf borderId="0" fillId="0" fontId="3" numFmtId="0" xfId="0" applyAlignment="1" applyFont="1">
      <alignment horizontal="center" shrinkToFit="0" vertical="center" wrapText="1"/>
    </xf>
    <xf borderId="2" fillId="0" fontId="20" numFmtId="10" xfId="0" applyAlignment="1" applyBorder="1" applyFont="1" applyNumberFormat="1">
      <alignment horizontal="center" shrinkToFit="0" vertical="center" wrapText="1"/>
    </xf>
    <xf borderId="3" fillId="0" fontId="3" numFmtId="3" xfId="0" applyAlignment="1" applyBorder="1" applyFont="1" applyNumberFormat="1">
      <alignment horizontal="center" shrinkToFit="0" vertical="center" wrapText="1"/>
    </xf>
    <xf borderId="2" fillId="0" fontId="20" numFmtId="3" xfId="0" applyAlignment="1" applyBorder="1" applyFont="1" applyNumberFormat="1">
      <alignment horizontal="center" shrinkToFit="0" vertical="center" wrapText="1"/>
    </xf>
    <xf borderId="8" fillId="3" fontId="12" numFmtId="3" xfId="0" applyAlignment="1" applyBorder="1" applyFont="1" applyNumberFormat="1">
      <alignment horizontal="center" shrinkToFit="0" vertical="center" wrapText="1"/>
    </xf>
    <xf borderId="9" fillId="3" fontId="12" numFmtId="3" xfId="0" applyAlignment="1" applyBorder="1" applyFont="1" applyNumberFormat="1">
      <alignment horizontal="center" shrinkToFit="0" vertical="center" wrapText="1"/>
    </xf>
    <xf borderId="10" fillId="3" fontId="12" numFmtId="3" xfId="0" applyAlignment="1" applyBorder="1" applyFont="1" applyNumberFormat="1">
      <alignment horizontal="center" shrinkToFit="0" vertical="center" wrapText="1"/>
    </xf>
    <xf borderId="12" fillId="2" fontId="12" numFmtId="3" xfId="0" applyAlignment="1" applyBorder="1" applyFont="1" applyNumberFormat="1">
      <alignment horizontal="center" shrinkToFit="0" vertical="center" wrapText="1"/>
    </xf>
    <xf borderId="13" fillId="2" fontId="12" numFmtId="3" xfId="0" applyAlignment="1" applyBorder="1" applyFont="1" applyNumberFormat="1">
      <alignment horizontal="center" shrinkToFit="0" vertical="center" wrapText="1"/>
    </xf>
    <xf borderId="14" fillId="2" fontId="12" numFmtId="3" xfId="0" applyAlignment="1" applyBorder="1" applyFont="1" applyNumberFormat="1">
      <alignment horizontal="center" shrinkToFit="0" vertical="center" wrapText="1"/>
    </xf>
    <xf borderId="15" fillId="2" fontId="12" numFmtId="3" xfId="0" applyAlignment="1" applyBorder="1" applyFont="1" applyNumberFormat="1">
      <alignment horizontal="center" shrinkToFit="0" vertical="center" wrapText="1"/>
    </xf>
    <xf borderId="14" fillId="4" fontId="12" numFmtId="3" xfId="0" applyAlignment="1" applyBorder="1" applyFont="1" applyNumberFormat="1">
      <alignment horizontal="center" shrinkToFit="0" vertical="center" wrapText="1"/>
    </xf>
    <xf borderId="15" fillId="4" fontId="12" numFmtId="3" xfId="0" applyAlignment="1" applyBorder="1" applyFont="1" applyNumberFormat="1">
      <alignment horizontal="center" shrinkToFit="0" vertical="center" wrapText="1"/>
    </xf>
    <xf borderId="2" fillId="3" fontId="12" numFmtId="3" xfId="0" applyAlignment="1" applyBorder="1" applyFont="1" applyNumberForma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vertical="center" wrapText="1"/>
    </xf>
    <xf borderId="28" fillId="3" fontId="12" numFmtId="3" xfId="0" applyAlignment="1" applyBorder="1" applyFont="1" applyNumberFormat="1">
      <alignment horizontal="left" shrinkToFit="0" vertical="center" wrapText="1"/>
    </xf>
    <xf borderId="95" fillId="3" fontId="12" numFmtId="3" xfId="0" applyAlignment="1" applyBorder="1" applyFont="1" applyNumberFormat="1">
      <alignment horizontal="left" shrinkToFit="0" vertical="center" wrapText="1"/>
    </xf>
    <xf borderId="34" fillId="5" fontId="1" numFmtId="3" xfId="0" applyAlignment="1" applyBorder="1" applyFont="1" applyNumberFormat="1">
      <alignment vertical="center"/>
    </xf>
    <xf borderId="67" fillId="6" fontId="21" numFmtId="3" xfId="0" applyAlignment="1" applyBorder="1" applyFont="1" applyNumberFormat="1">
      <alignment vertical="center"/>
    </xf>
    <xf borderId="38" fillId="0" fontId="1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vertical="center" wrapText="1"/>
    </xf>
    <xf borderId="39" fillId="0" fontId="1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21" numFmtId="3" xfId="0" applyAlignment="1" applyFont="1" applyNumberFormat="1">
      <alignment horizontal="center" shrinkToFit="0" vertical="center" wrapText="1"/>
    </xf>
    <xf borderId="0" fillId="0" fontId="21" numFmtId="9" xfId="0" applyAlignment="1" applyFont="1" applyNumberFormat="1">
      <alignment horizontal="center" shrinkToFit="0" vertical="center" wrapText="1"/>
    </xf>
    <xf borderId="96" fillId="6" fontId="21" numFmtId="3" xfId="0" applyAlignment="1" applyBorder="1" applyFont="1" applyNumberFormat="1">
      <alignment horizontal="center" shrinkToFit="0" vertical="center" wrapText="1"/>
    </xf>
    <xf borderId="97" fillId="0" fontId="1" numFmtId="3" xfId="0" applyAlignment="1" applyBorder="1" applyFont="1" applyNumberFormat="1">
      <alignment horizontal="center" shrinkToFit="0" wrapText="1"/>
    </xf>
    <xf borderId="40" fillId="0" fontId="21" numFmtId="3" xfId="0" applyAlignment="1" applyBorder="1" applyFont="1" applyNumberFormat="1">
      <alignment horizontal="center" shrinkToFit="0" vertical="center" wrapText="1"/>
    </xf>
    <xf borderId="40" fillId="0" fontId="21" numFmtId="9" xfId="0" applyAlignment="1" applyBorder="1" applyFont="1" applyNumberFormat="1">
      <alignment horizontal="center" shrinkToFit="0" vertical="center" wrapText="1"/>
    </xf>
    <xf borderId="42" fillId="6" fontId="21" numFmtId="3" xfId="0" applyAlignment="1" applyBorder="1" applyFont="1" applyNumberFormat="1">
      <alignment horizontal="center" shrinkToFit="0" vertical="center" wrapText="1"/>
    </xf>
    <xf borderId="43" fillId="5" fontId="1" numFmtId="3" xfId="0" applyAlignment="1" applyBorder="1" applyFont="1" applyNumberFormat="1">
      <alignment vertical="center"/>
    </xf>
    <xf borderId="44" fillId="0" fontId="1" numFmtId="3" xfId="0" applyAlignment="1" applyBorder="1" applyFont="1" applyNumberFormat="1">
      <alignment horizontal="center" shrinkToFit="0" wrapText="1"/>
    </xf>
    <xf borderId="46" fillId="0" fontId="1" numFmtId="3" xfId="0" applyAlignment="1" applyBorder="1" applyFont="1" applyNumberFormat="1">
      <alignment horizontal="center" shrinkToFit="0" wrapText="1"/>
    </xf>
    <xf borderId="67" fillId="6" fontId="21" numFmtId="3" xfId="0" applyAlignment="1" applyBorder="1" applyFont="1" applyNumberFormat="1">
      <alignment readingOrder="0" vertical="center"/>
    </xf>
    <xf borderId="47" fillId="5" fontId="1" numFmtId="3" xfId="0" applyAlignment="1" applyBorder="1" applyFont="1" applyNumberFormat="1">
      <alignment vertical="center"/>
    </xf>
    <xf borderId="48" fillId="5" fontId="1" numFmtId="3" xfId="0" applyAlignment="1" applyBorder="1" applyFont="1" applyNumberFormat="1">
      <alignment vertical="center"/>
    </xf>
    <xf borderId="49" fillId="5" fontId="1" numFmtId="3" xfId="0" applyAlignment="1" applyBorder="1" applyFont="1" applyNumberFormat="1">
      <alignment vertical="center"/>
    </xf>
    <xf borderId="50" fillId="6" fontId="1" numFmtId="3" xfId="0" applyAlignment="1" applyBorder="1" applyFont="1" applyNumberFormat="1">
      <alignment vertical="center"/>
    </xf>
    <xf borderId="45" fillId="6" fontId="1" numFmtId="3" xfId="0" applyAlignment="1" applyBorder="1" applyFont="1" applyNumberFormat="1">
      <alignment vertical="center"/>
    </xf>
    <xf borderId="40" fillId="6" fontId="1" numFmtId="3" xfId="0" applyAlignment="1" applyBorder="1" applyFont="1" applyNumberFormat="1">
      <alignment vertical="center"/>
    </xf>
    <xf borderId="66" fillId="6" fontId="1" numFmtId="3" xfId="0" applyAlignment="1" applyBorder="1" applyFont="1" applyNumberFormat="1">
      <alignment vertical="center"/>
    </xf>
    <xf borderId="66" fillId="6" fontId="1" numFmtId="3" xfId="0" applyAlignment="1" applyBorder="1" applyFont="1" applyNumberFormat="1">
      <alignment horizontal="right" vertical="center"/>
    </xf>
    <xf borderId="98" fillId="6" fontId="21" numFmtId="3" xfId="0" applyAlignment="1" applyBorder="1" applyFont="1" applyNumberFormat="1">
      <alignment horizontal="right" vertical="center"/>
    </xf>
    <xf borderId="52" fillId="6" fontId="1" numFmtId="3" xfId="0" applyAlignment="1" applyBorder="1" applyFont="1" applyNumberFormat="1">
      <alignment horizontal="center" vertical="center"/>
    </xf>
    <xf borderId="53" fillId="6" fontId="1" numFmtId="3" xfId="0" applyAlignment="1" applyBorder="1" applyFont="1" applyNumberFormat="1">
      <alignment vertical="center"/>
    </xf>
    <xf borderId="54" fillId="6" fontId="1" numFmtId="3" xfId="0" applyAlignment="1" applyBorder="1" applyFont="1" applyNumberFormat="1">
      <alignment vertical="center"/>
    </xf>
    <xf borderId="40" fillId="6" fontId="1" numFmtId="3" xfId="0" applyAlignment="1" applyBorder="1" applyFont="1" applyNumberFormat="1">
      <alignment horizontal="right" vertical="center"/>
    </xf>
    <xf borderId="51" fillId="6" fontId="21" numFmtId="3" xfId="0" applyAlignment="1" applyBorder="1" applyFont="1" applyNumberFormat="1">
      <alignment horizontal="right" vertical="center"/>
    </xf>
    <xf borderId="56" fillId="5" fontId="1" numFmtId="3" xfId="0" applyAlignment="1" applyBorder="1" applyFont="1" applyNumberFormat="1">
      <alignment vertical="center"/>
    </xf>
    <xf borderId="63" fillId="6" fontId="21" numFmtId="3" xfId="0" applyAlignment="1" applyBorder="1" applyFont="1" applyNumberFormat="1">
      <alignment vertical="center"/>
    </xf>
    <xf borderId="45" fillId="0" fontId="21" numFmtId="3" xfId="0" applyAlignment="1" applyBorder="1" applyFont="1" applyNumberFormat="1">
      <alignment horizontal="center" shrinkToFit="0" vertical="center" wrapText="1"/>
    </xf>
    <xf borderId="66" fillId="0" fontId="21" numFmtId="3" xfId="0" applyAlignment="1" applyBorder="1" applyFont="1" applyNumberFormat="1">
      <alignment horizontal="center" shrinkToFit="0" vertical="center" wrapText="1"/>
    </xf>
    <xf borderId="54" fillId="0" fontId="21" numFmtId="3" xfId="0" applyAlignment="1" applyBorder="1" applyFont="1" applyNumberFormat="1">
      <alignment horizontal="center" shrinkToFit="0" vertical="center" wrapText="1"/>
    </xf>
    <xf borderId="70" fillId="5" fontId="1" numFmtId="3" xfId="0" applyAlignment="1" applyBorder="1" applyFont="1" applyNumberFormat="1">
      <alignment vertical="center"/>
    </xf>
    <xf borderId="71" fillId="6" fontId="21" numFmtId="3" xfId="0" applyAlignment="1" applyBorder="1" applyFont="1" applyNumberFormat="1">
      <alignment vertical="center"/>
    </xf>
    <xf borderId="74" fillId="0" fontId="21" numFmtId="3" xfId="0" applyAlignment="1" applyBorder="1" applyFont="1" applyNumberFormat="1">
      <alignment horizontal="center" shrinkToFit="0" vertical="center" wrapText="1"/>
    </xf>
    <xf borderId="75" fillId="0" fontId="21" numFmtId="3" xfId="0" applyAlignment="1" applyBorder="1" applyFont="1" applyNumberFormat="1">
      <alignment horizontal="center" shrinkToFit="0" vertical="center" wrapText="1"/>
    </xf>
    <xf borderId="19" fillId="5" fontId="1" numFmtId="3" xfId="0" applyAlignment="1" applyBorder="1" applyFont="1" applyNumberFormat="1">
      <alignment vertical="center"/>
    </xf>
    <xf borderId="57" fillId="7" fontId="12" numFmtId="3" xfId="0" applyAlignment="1" applyBorder="1" applyFont="1" applyNumberFormat="1">
      <alignment horizontal="center" shrinkToFit="0" vertical="center" wrapText="1"/>
    </xf>
    <xf borderId="35" fillId="6" fontId="21" numFmtId="3" xfId="0" applyAlignment="1" applyBorder="1" applyFont="1" applyNumberFormat="1">
      <alignment vertical="center"/>
    </xf>
    <xf borderId="76" fillId="0" fontId="21" numFmtId="3" xfId="0" applyAlignment="1" applyBorder="1" applyFont="1" applyNumberFormat="1">
      <alignment horizontal="center" shrinkToFit="0" vertical="center" wrapText="1"/>
    </xf>
    <xf borderId="77" fillId="0" fontId="21" numFmtId="3" xfId="0" applyAlignment="1" applyBorder="1" applyFont="1" applyNumberFormat="1">
      <alignment horizontal="center" shrinkToFit="0" vertical="center" wrapText="1"/>
    </xf>
    <xf borderId="78" fillId="6" fontId="21" numFmtId="3" xfId="0" applyAlignment="1" applyBorder="1" applyFont="1" applyNumberFormat="1">
      <alignment vertical="center"/>
    </xf>
    <xf borderId="80" fillId="7" fontId="12" numFmtId="3" xfId="0" applyAlignment="1" applyBorder="1" applyFont="1" applyNumberFormat="1">
      <alignment horizontal="left" shrinkToFit="0" vertical="center" wrapText="1"/>
    </xf>
    <xf borderId="66" fillId="0" fontId="21" numFmtId="3" xfId="0" applyAlignment="1" applyBorder="1" applyFont="1" applyNumberFormat="1">
      <alignment horizontal="center" readingOrder="0" shrinkToFit="0" vertical="center" wrapText="1"/>
    </xf>
    <xf borderId="85" fillId="0" fontId="21" numFmtId="3" xfId="0" applyAlignment="1" applyBorder="1" applyFont="1" applyNumberFormat="1">
      <alignment horizontal="center" shrinkToFit="0" vertical="center" wrapText="1"/>
    </xf>
    <xf borderId="47" fillId="0" fontId="1" numFmtId="3" xfId="0" applyAlignment="1" applyBorder="1" applyFont="1" applyNumberFormat="1">
      <alignment vertical="center"/>
    </xf>
    <xf borderId="56" fillId="5" fontId="1" numFmtId="3" xfId="0" applyAlignment="1" applyBorder="1" applyFont="1" applyNumberFormat="1">
      <alignment horizontal="center" vertical="center"/>
    </xf>
    <xf borderId="69" fillId="0" fontId="1" numFmtId="3" xfId="0" applyAlignment="1" applyBorder="1" applyFont="1" applyNumberFormat="1">
      <alignment vertical="center"/>
    </xf>
    <xf borderId="43" fillId="0" fontId="1" numFmtId="3" xfId="0" applyAlignment="1" applyBorder="1" applyFont="1" applyNumberFormat="1">
      <alignment horizontal="center" vertical="center"/>
    </xf>
    <xf borderId="47" fillId="5" fontId="21" numFmtId="3" xfId="0" applyAlignment="1" applyBorder="1" applyFont="1" applyNumberFormat="1">
      <alignment horizontal="right" shrinkToFit="0" vertical="center" wrapText="1"/>
    </xf>
    <xf borderId="47" fillId="5" fontId="1" numFmtId="0" xfId="0" applyAlignment="1" applyBorder="1" applyFont="1">
      <alignment vertical="center"/>
    </xf>
    <xf borderId="56" fillId="5" fontId="21" numFmtId="3" xfId="0" applyAlignment="1" applyBorder="1" applyFont="1" applyNumberFormat="1">
      <alignment horizontal="right" vertical="center"/>
    </xf>
    <xf borderId="86" fillId="6" fontId="21" numFmtId="3" xfId="0" applyAlignment="1" applyBorder="1" applyFont="1" applyNumberFormat="1">
      <alignment horizontal="center" shrinkToFit="0" vertical="center" wrapText="1"/>
    </xf>
    <xf borderId="69" fillId="5" fontId="21" numFmtId="3" xfId="0" applyAlignment="1" applyBorder="1" applyFont="1" applyNumberFormat="1">
      <alignment horizontal="right" shrinkToFit="0" vertical="center" wrapText="1"/>
    </xf>
    <xf borderId="56" fillId="6" fontId="21" numFmtId="3" xfId="0" applyAlignment="1" applyBorder="1" applyFont="1" applyNumberFormat="1">
      <alignment horizontal="center" shrinkToFit="0" vertical="center" wrapText="1"/>
    </xf>
    <xf borderId="87" fillId="5" fontId="21" numFmtId="3" xfId="0" applyAlignment="1" applyBorder="1" applyFont="1" applyNumberFormat="1">
      <alignment horizontal="right" vertical="center"/>
    </xf>
    <xf borderId="87" fillId="5" fontId="21" numFmtId="3" xfId="0" applyAlignment="1" applyBorder="1" applyFont="1" applyNumberFormat="1">
      <alignment horizontal="right" shrinkToFit="0" vertical="center" wrapText="1"/>
    </xf>
    <xf borderId="88" fillId="6" fontId="21" numFmtId="9" xfId="0" applyAlignment="1" applyBorder="1" applyFont="1" applyNumberFormat="1">
      <alignment horizontal="center" shrinkToFit="0" vertical="center" wrapText="1"/>
    </xf>
    <xf borderId="88" fillId="6" fontId="21" numFmtId="3" xfId="0" applyAlignment="1" applyBorder="1" applyFont="1" applyNumberFormat="1">
      <alignment horizontal="center" shrinkToFit="0" vertical="center" wrapText="1"/>
    </xf>
    <xf borderId="37" fillId="5" fontId="21" numFmtId="3" xfId="0" applyAlignment="1" applyBorder="1" applyFont="1" applyNumberFormat="1">
      <alignment horizontal="right" shrinkToFit="0" vertical="center" wrapText="1"/>
    </xf>
    <xf borderId="31" fillId="3" fontId="12" numFmtId="3" xfId="0" applyAlignment="1" applyBorder="1" applyFont="1" applyNumberFormat="1">
      <alignment horizontal="right" shrinkToFit="0" vertical="center" wrapText="1"/>
    </xf>
    <xf borderId="32" fillId="3" fontId="12" numFmtId="3" xfId="0" applyAlignment="1" applyBorder="1" applyFont="1" applyNumberFormat="1">
      <alignment horizontal="right" vertical="center"/>
    </xf>
    <xf borderId="89" fillId="3" fontId="19" numFmtId="3" xfId="0" applyAlignment="1" applyBorder="1" applyFont="1" applyNumberFormat="1">
      <alignment horizontal="center" shrinkToFit="0" vertical="center" wrapText="1"/>
    </xf>
    <xf borderId="30" fillId="3" fontId="12" numFmtId="3" xfId="0" applyAlignment="1" applyBorder="1" applyFont="1" applyNumberFormat="1">
      <alignment horizontal="right" shrinkToFit="0" vertical="center" wrapText="1"/>
    </xf>
    <xf borderId="70" fillId="5" fontId="21" numFmtId="3" xfId="0" applyAlignment="1" applyBorder="1" applyFont="1" applyNumberFormat="1">
      <alignment horizontal="right" shrinkToFit="0" vertical="center" wrapText="1"/>
    </xf>
    <xf borderId="70" fillId="5" fontId="21" numFmtId="3" xfId="0" applyAlignment="1" applyBorder="1" applyFont="1" applyNumberFormat="1">
      <alignment horizontal="right" vertical="center"/>
    </xf>
    <xf borderId="86" fillId="6" fontId="21" numFmtId="9" xfId="0" applyAlignment="1" applyBorder="1" applyFont="1" applyNumberFormat="1">
      <alignment horizontal="center" shrinkToFit="0" vertical="center" wrapText="1"/>
    </xf>
    <xf borderId="65" fillId="5" fontId="21" numFmtId="3" xfId="0" applyAlignment="1" applyBorder="1" applyFont="1" applyNumberFormat="1">
      <alignment horizontal="right" shrinkToFit="0" vertical="center" wrapText="1"/>
    </xf>
    <xf borderId="90" fillId="5" fontId="21" numFmtId="3" xfId="0" applyAlignment="1" applyBorder="1" applyFont="1" applyNumberFormat="1">
      <alignment horizontal="right" vertical="center"/>
    </xf>
    <xf borderId="32" fillId="3" fontId="19" numFmtId="3" xfId="0" applyAlignment="1" applyBorder="1" applyFont="1" applyNumberFormat="1">
      <alignment horizontal="right" vertical="center"/>
    </xf>
    <xf borderId="91" fillId="5" fontId="21" numFmtId="3" xfId="0" applyAlignment="1" applyBorder="1" applyFont="1" applyNumberFormat="1">
      <alignment horizontal="right" shrinkToFit="0" vertical="center" wrapText="1"/>
    </xf>
    <xf borderId="91" fillId="5" fontId="21" numFmtId="3" xfId="0" applyAlignment="1" applyBorder="1" applyFont="1" applyNumberFormat="1">
      <alignment horizontal="right" vertical="center"/>
    </xf>
    <xf borderId="73" fillId="5" fontId="21" numFmtId="3" xfId="0" applyAlignment="1" applyBorder="1" applyFont="1" applyNumberFormat="1">
      <alignment horizontal="right" shrinkToFit="0" vertical="center" wrapText="1"/>
    </xf>
    <xf borderId="89" fillId="3" fontId="2" numFmtId="3" xfId="0" applyAlignment="1" applyBorder="1" applyFont="1" applyNumberFormat="1">
      <alignment horizontal="center" shrinkToFit="0" vertical="center" wrapText="1"/>
    </xf>
    <xf borderId="92" fillId="5" fontId="21" numFmtId="3" xfId="0" applyAlignment="1" applyBorder="1" applyFont="1" applyNumberFormat="1">
      <alignment horizontal="right" vertical="center"/>
    </xf>
    <xf borderId="0" fillId="0" fontId="22" numFmtId="3" xfId="0" applyAlignment="1" applyFont="1" applyNumberFormat="1">
      <alignment horizontal="left" shrinkToFit="0" vertical="top" wrapText="1"/>
    </xf>
    <xf borderId="0" fillId="2" fontId="19" numFmtId="3" xfId="0" applyAlignment="1" applyFont="1" applyNumberFormat="1">
      <alignment horizontal="center" shrinkToFit="0" vertical="center" wrapText="1"/>
    </xf>
    <xf borderId="56" fillId="2" fontId="19" numFmtId="3" xfId="0" applyAlignment="1" applyBorder="1" applyFont="1" applyNumberFormat="1">
      <alignment horizontal="center" shrinkToFit="0" vertical="center" wrapText="1"/>
    </xf>
    <xf borderId="0" fillId="4" fontId="19" numFmtId="3" xfId="0" applyAlignment="1" applyFont="1" applyNumberFormat="1">
      <alignment horizontal="center" shrinkToFit="0" vertical="center" wrapText="1"/>
    </xf>
    <xf borderId="56" fillId="4" fontId="19" numFmtId="3" xfId="0" applyAlignment="1" applyBorder="1" applyFont="1" applyNumberFormat="1">
      <alignment horizontal="center" shrinkToFit="0" vertical="center" wrapText="1"/>
    </xf>
    <xf borderId="56" fillId="2" fontId="19" numFmtId="9" xfId="0" applyAlignment="1" applyBorder="1" applyFont="1" applyNumberFormat="1">
      <alignment horizontal="center" shrinkToFit="0" vertical="center" wrapText="1"/>
    </xf>
    <xf borderId="56" fillId="4" fontId="19" numFmtId="10" xfId="0" applyAlignment="1" applyBorder="1" applyFont="1" applyNumberFormat="1">
      <alignment horizontal="center" shrinkToFit="0" vertical="center" wrapText="1"/>
    </xf>
    <xf borderId="88" fillId="2" fontId="19" numFmtId="9" xfId="0" applyAlignment="1" applyBorder="1" applyFont="1" applyNumberFormat="1">
      <alignment horizontal="center" shrinkToFit="0" vertical="center" wrapText="1"/>
    </xf>
    <xf borderId="88" fillId="4" fontId="19" numFmtId="9" xfId="0" applyAlignment="1" applyBorder="1" applyFont="1" applyNumberFormat="1">
      <alignment horizontal="center" shrinkToFit="0" vertical="center" wrapText="1"/>
    </xf>
    <xf borderId="99" fillId="5" fontId="1" numFmtId="3" xfId="0" applyAlignment="1" applyBorder="1" applyFont="1" applyNumberFormat="1">
      <alignment vertical="center"/>
    </xf>
    <xf borderId="96" fillId="5" fontId="1" numFmtId="3" xfId="0" applyAlignment="1" applyBorder="1" applyFont="1" applyNumberFormat="1">
      <alignment vertical="center"/>
    </xf>
    <xf borderId="74" fillId="0" fontId="22" numFmtId="3" xfId="0" applyAlignment="1" applyBorder="1" applyFont="1" applyNumberFormat="1">
      <alignment horizontal="left" shrinkToFit="0" vertical="top" wrapText="1"/>
    </xf>
    <xf borderId="46" fillId="0" fontId="22" numFmtId="3" xfId="0" applyAlignment="1" applyBorder="1" applyFont="1" applyNumberFormat="1">
      <alignment horizontal="left" shrinkToFit="0" vertical="top" wrapText="1"/>
    </xf>
    <xf borderId="45" fillId="0" fontId="22" numFmtId="3" xfId="0" applyAlignment="1" applyBorder="1" applyFont="1" applyNumberFormat="1">
      <alignment horizontal="left" shrinkToFit="0" vertical="top" wrapText="1"/>
    </xf>
    <xf borderId="28" fillId="8" fontId="23" numFmtId="0" xfId="0" applyAlignment="1" applyBorder="1" applyFill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31" fillId="0" fontId="25" numFmtId="0" xfId="0" applyAlignment="1" applyBorder="1" applyFont="1">
      <alignment shrinkToFit="0" vertical="center" wrapText="1"/>
    </xf>
    <xf borderId="31" fillId="0" fontId="24" numFmtId="0" xfId="0" applyAlignment="1" applyBorder="1" applyFont="1">
      <alignment shrinkToFit="0" vertical="center" wrapText="1"/>
    </xf>
    <xf borderId="31" fillId="2" fontId="26" numFmtId="0" xfId="0" applyAlignment="1" applyBorder="1" applyFont="1">
      <alignment shrinkToFit="0" vertical="center" wrapText="1"/>
    </xf>
    <xf borderId="31" fillId="0" fontId="24" numFmtId="4" xfId="0" applyAlignment="1" applyBorder="1" applyFont="1" applyNumberFormat="1">
      <alignment shrinkToFit="0" vertical="center" wrapText="1"/>
    </xf>
    <xf borderId="31" fillId="4" fontId="24" numFmtId="0" xfId="0" applyAlignment="1" applyBorder="1" applyFont="1">
      <alignment shrinkToFit="0" vertical="center" wrapText="1"/>
    </xf>
    <xf borderId="31" fillId="0" fontId="24" numFmtId="10" xfId="0" applyAlignment="1" applyBorder="1" applyFont="1" applyNumberFormat="1">
      <alignment shrinkToFit="0" vertical="center" wrapText="1"/>
    </xf>
    <xf borderId="31" fillId="0" fontId="13" numFmtId="0" xfId="0" applyAlignment="1" applyBorder="1" applyFont="1">
      <alignment shrinkToFit="0" wrapText="1"/>
    </xf>
    <xf borderId="31" fillId="0" fontId="27" numFmtId="0" xfId="0" applyAlignment="1" applyBorder="1" applyFont="1">
      <alignment shrinkToFit="0" vertical="center" wrapText="1"/>
    </xf>
    <xf borderId="31" fillId="0" fontId="28" numFmtId="0" xfId="0" applyAlignment="1" applyBorder="1" applyFont="1">
      <alignment shrinkToFit="0" vertical="center" wrapText="1"/>
    </xf>
    <xf borderId="31" fillId="0" fontId="24" numFmtId="165" xfId="0" applyAlignment="1" applyBorder="1" applyFont="1" applyNumberFormat="1">
      <alignment shrinkToFit="0" vertical="center" wrapText="1"/>
    </xf>
    <xf borderId="31" fillId="0" fontId="24" numFmtId="0" xfId="0" applyAlignment="1" applyBorder="1" applyFont="1">
      <alignment horizontal="right" shrinkToFit="0" vertical="center" wrapText="1"/>
    </xf>
    <xf borderId="31" fillId="0" fontId="24" numFmtId="0" xfId="0" applyAlignment="1" applyBorder="1" applyFont="1">
      <alignment shrinkToFit="0" wrapText="1"/>
    </xf>
    <xf borderId="31" fillId="0" fontId="29" numFmtId="0" xfId="0" applyBorder="1" applyFont="1"/>
    <xf borderId="0" fillId="0" fontId="13" numFmtId="0" xfId="0" applyFont="1"/>
    <xf borderId="31" fillId="0" fontId="24" numFmtId="165" xfId="0" applyAlignment="1" applyBorder="1" applyFont="1" applyNumberFormat="1">
      <alignment horizontal="right" shrinkToFit="0" vertical="center" wrapText="1"/>
    </xf>
    <xf borderId="31" fillId="0" fontId="24" numFmtId="0" xfId="0" applyAlignment="1" applyBorder="1" applyFont="1">
      <alignment horizontal="right" shrinkToFit="0" wrapText="1"/>
    </xf>
    <xf borderId="31" fillId="0" fontId="30" numFmtId="0" xfId="0" applyAlignment="1" applyBorder="1" applyFont="1">
      <alignment shrinkToFit="0" vertical="center" wrapText="1"/>
    </xf>
    <xf borderId="31" fillId="0" fontId="29" numFmtId="165" xfId="0" applyBorder="1" applyFont="1" applyNumberFormat="1"/>
    <xf borderId="0" fillId="2" fontId="12" numFmtId="3" xfId="0" applyAlignment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0" fontId="21" numFmtId="0" xfId="0" applyFont="1"/>
    <xf borderId="0" fillId="0" fontId="31" numFmtId="0" xfId="0" applyFont="1"/>
    <xf borderId="0" fillId="2" fontId="12" numFmtId="0" xfId="0" applyAlignment="1" applyFont="1">
      <alignment horizontal="center"/>
    </xf>
    <xf borderId="0" fillId="3" fontId="12" numFmtId="3" xfId="0" applyAlignment="1" applyFont="1" applyNumberFormat="1">
      <alignment horizontal="center" shrinkToFit="0" vertical="center" wrapText="1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horizontal="center" shrinkToFit="0" vertical="center" wrapText="1"/>
    </xf>
    <xf borderId="0" fillId="6" fontId="21" numFmtId="3" xfId="0" applyAlignment="1" applyFont="1" applyNumberFormat="1">
      <alignment horizontal="left" vertical="center"/>
    </xf>
    <xf borderId="0" fillId="5" fontId="21" numFmtId="0" xfId="0" applyAlignment="1" applyFont="1">
      <alignment horizontal="center" shrinkToFit="0" vertical="bottom" wrapText="0"/>
    </xf>
    <xf borderId="0" fillId="6" fontId="21" numFmtId="3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</xdr:row>
      <xdr:rowOff>152400</xdr:rowOff>
    </xdr:from>
    <xdr:ext cx="657225" cy="190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</xdr:row>
      <xdr:rowOff>152400</xdr:rowOff>
    </xdr:from>
    <xdr:ext cx="657225" cy="190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NMRZ2UDkN8IGfOPB46cxn5HNAXzqOsI/edit?gid=821020801" TargetMode="External"/><Relationship Id="rId2" Type="http://schemas.openxmlformats.org/officeDocument/2006/relationships/hyperlink" Target="https://drive.google.com/drive/folders/1f8Nnnirq8le4Mao-cEbzMREi8RZzKZY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 outlineLevelCol="1"/>
  <cols>
    <col customWidth="1" min="1" max="1" width="2.43"/>
    <col customWidth="1" min="2" max="3" width="12.57"/>
    <col customWidth="1" min="4" max="4" width="9.14"/>
    <col customWidth="1" min="5" max="5" width="5.43"/>
    <col customWidth="1" min="6" max="6" width="9.29"/>
    <col customWidth="1" min="7" max="7" width="5.86"/>
    <col customWidth="1" min="8" max="8" width="11.14"/>
    <col customWidth="1" min="9" max="9" width="5.86"/>
    <col customWidth="1" min="10" max="11" width="11.14"/>
    <col customWidth="1" min="12" max="12" width="10.29"/>
    <col customWidth="1" min="13" max="13" width="11.14"/>
    <col customWidth="1" min="14" max="14" width="12.43"/>
    <col customWidth="1" min="15" max="15" width="7.14"/>
    <col customWidth="1" min="16" max="16" width="6.14"/>
    <col customWidth="1" min="17" max="17" width="7.14"/>
    <col customWidth="1" min="18" max="18" width="5.43"/>
    <col customWidth="1" min="19" max="19" width="11.14"/>
    <col customWidth="1" min="20" max="20" width="5.43"/>
    <col customWidth="1" min="21" max="21" width="11.14"/>
    <col customWidth="1" min="22" max="22" width="11.0"/>
    <col customWidth="1" min="23" max="23" width="10.71"/>
    <col customWidth="1" min="24" max="24" width="11.14"/>
    <col customWidth="1" min="25" max="25" width="16.57" outlineLevel="1"/>
    <col customWidth="1" min="26" max="26" width="13.43" outlineLevel="1"/>
    <col customWidth="1" min="27" max="27" width="11.14" outlineLevel="1"/>
  </cols>
  <sheetData>
    <row r="1">
      <c r="A1" s="1"/>
      <c r="B1" s="2"/>
      <c r="C1" s="3"/>
      <c r="D1" s="3"/>
      <c r="E1" s="3"/>
      <c r="F1" s="3"/>
      <c r="G1" s="3"/>
      <c r="H1" s="3"/>
      <c r="I1" s="3"/>
      <c r="J1" s="4"/>
      <c r="K1" s="5" t="s">
        <v>0</v>
      </c>
      <c r="L1" s="6"/>
      <c r="M1" s="7">
        <f>M67</f>
        <v>0</v>
      </c>
      <c r="N1" s="8"/>
      <c r="O1" s="9" t="s">
        <v>1</v>
      </c>
      <c r="P1" s="10" t="s">
        <v>2</v>
      </c>
      <c r="Q1" s="10"/>
      <c r="R1" s="11">
        <v>0.2</v>
      </c>
      <c r="S1" s="12" t="s">
        <v>3</v>
      </c>
      <c r="T1" s="13" t="str">
        <f>X72</f>
        <v>#DIV/0!</v>
      </c>
      <c r="U1" s="12" t="s">
        <v>4</v>
      </c>
      <c r="V1" s="14">
        <f>X64</f>
        <v>0</v>
      </c>
      <c r="W1" s="15"/>
      <c r="X1" s="16" t="s">
        <v>5</v>
      </c>
      <c r="Y1" s="17" t="str">
        <f>AA72</f>
        <v>#DIV/0!</v>
      </c>
      <c r="Z1" s="18" t="s">
        <v>6</v>
      </c>
      <c r="AA1" s="19">
        <f>AA67</f>
        <v>0</v>
      </c>
    </row>
    <row r="2" ht="10.5" customHeight="1">
      <c r="A2" s="20"/>
      <c r="B2" s="21"/>
      <c r="C2" s="20" t="s">
        <v>7</v>
      </c>
      <c r="D2" s="21"/>
      <c r="E2" s="22" t="s">
        <v>8</v>
      </c>
      <c r="F2" s="23" t="s">
        <v>9</v>
      </c>
      <c r="G2" s="23" t="s">
        <v>10</v>
      </c>
      <c r="H2" s="23" t="s">
        <v>11</v>
      </c>
      <c r="I2" s="24" t="s">
        <v>12</v>
      </c>
      <c r="J2" s="25"/>
      <c r="K2" s="23" t="s">
        <v>13</v>
      </c>
      <c r="L2" s="23" t="s">
        <v>14</v>
      </c>
      <c r="M2" s="26" t="s">
        <v>15</v>
      </c>
      <c r="N2" s="24" t="s">
        <v>16</v>
      </c>
      <c r="O2" s="27"/>
      <c r="P2" s="28" t="s">
        <v>8</v>
      </c>
      <c r="Q2" s="29" t="s">
        <v>9</v>
      </c>
      <c r="R2" s="30" t="s">
        <v>10</v>
      </c>
      <c r="S2" s="30" t="s">
        <v>11</v>
      </c>
      <c r="T2" s="31" t="s">
        <v>12</v>
      </c>
      <c r="U2" s="32"/>
      <c r="V2" s="30" t="s">
        <v>17</v>
      </c>
      <c r="W2" s="30" t="s">
        <v>18</v>
      </c>
      <c r="X2" s="31" t="s">
        <v>19</v>
      </c>
      <c r="Y2" s="33" t="s">
        <v>20</v>
      </c>
      <c r="Z2" s="33" t="s">
        <v>21</v>
      </c>
      <c r="AA2" s="34" t="s">
        <v>22</v>
      </c>
    </row>
    <row r="3" ht="18.75" customHeight="1">
      <c r="A3" s="35"/>
      <c r="B3" s="36"/>
      <c r="C3" s="35"/>
      <c r="D3" s="36"/>
      <c r="E3" s="36"/>
      <c r="F3" s="37"/>
      <c r="G3" s="37"/>
      <c r="H3" s="37"/>
      <c r="I3" s="38"/>
      <c r="J3" s="39"/>
      <c r="K3" s="37"/>
      <c r="L3" s="37"/>
      <c r="M3" s="40"/>
      <c r="N3" s="35"/>
      <c r="O3" s="27"/>
      <c r="P3" s="36"/>
      <c r="Q3" s="41"/>
      <c r="R3" s="37"/>
      <c r="S3" s="37"/>
      <c r="T3" s="38"/>
      <c r="U3" s="39"/>
      <c r="V3" s="37"/>
      <c r="W3" s="37"/>
      <c r="X3" s="35"/>
      <c r="Y3" s="37"/>
      <c r="Z3" s="37"/>
      <c r="AA3" s="35"/>
    </row>
    <row r="4" ht="19.5" customHeight="1">
      <c r="A4" s="35"/>
      <c r="B4" s="36"/>
      <c r="C4" s="35"/>
      <c r="D4" s="36"/>
      <c r="E4" s="36"/>
      <c r="F4" s="37"/>
      <c r="G4" s="37"/>
      <c r="H4" s="37"/>
      <c r="I4" s="42" t="s">
        <v>23</v>
      </c>
      <c r="J4" s="42" t="s">
        <v>24</v>
      </c>
      <c r="K4" s="37"/>
      <c r="L4" s="37"/>
      <c r="M4" s="40"/>
      <c r="N4" s="35"/>
      <c r="O4" s="27"/>
      <c r="P4" s="36"/>
      <c r="Q4" s="41"/>
      <c r="R4" s="37"/>
      <c r="S4" s="37"/>
      <c r="T4" s="43" t="s">
        <v>23</v>
      </c>
      <c r="U4" s="43" t="s">
        <v>24</v>
      </c>
      <c r="V4" s="37"/>
      <c r="W4" s="37"/>
      <c r="X4" s="35"/>
      <c r="Y4" s="37"/>
      <c r="Z4" s="37"/>
      <c r="AA4" s="35"/>
    </row>
    <row r="5">
      <c r="A5" s="38"/>
      <c r="B5" s="39"/>
      <c r="C5" s="38"/>
      <c r="D5" s="39"/>
      <c r="E5" s="44"/>
      <c r="F5" s="45"/>
      <c r="G5" s="45"/>
      <c r="H5" s="45"/>
      <c r="I5" s="45"/>
      <c r="J5" s="45"/>
      <c r="K5" s="45"/>
      <c r="L5" s="45"/>
      <c r="M5" s="46"/>
      <c r="N5" s="47"/>
      <c r="O5" s="27"/>
      <c r="P5" s="44"/>
      <c r="Q5" s="48"/>
      <c r="R5" s="45"/>
      <c r="S5" s="45"/>
      <c r="T5" s="45"/>
      <c r="U5" s="45"/>
      <c r="V5" s="45"/>
      <c r="W5" s="45"/>
      <c r="X5" s="47"/>
      <c r="Y5" s="45"/>
      <c r="Z5" s="45"/>
      <c r="AA5" s="47"/>
    </row>
    <row r="6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  <c r="N6" s="52"/>
      <c r="O6" s="53"/>
      <c r="P6" s="49"/>
      <c r="Q6" s="49"/>
      <c r="R6" s="50"/>
      <c r="S6" s="50"/>
      <c r="T6" s="50"/>
      <c r="U6" s="50"/>
      <c r="V6" s="50"/>
      <c r="W6" s="50"/>
      <c r="X6" s="51"/>
      <c r="Y6" s="51"/>
      <c r="Z6" s="52"/>
      <c r="AA6" s="52"/>
    </row>
    <row r="7">
      <c r="A7" s="54" t="s">
        <v>25</v>
      </c>
      <c r="B7" s="55"/>
      <c r="C7" s="55"/>
      <c r="D7" s="56"/>
      <c r="E7" s="57"/>
      <c r="F7" s="57"/>
      <c r="G7" s="57"/>
      <c r="H7" s="57"/>
      <c r="I7" s="57"/>
      <c r="J7" s="57"/>
      <c r="K7" s="57"/>
      <c r="L7" s="57"/>
      <c r="M7" s="58"/>
      <c r="N7" s="59"/>
      <c r="O7" s="53"/>
      <c r="P7" s="60"/>
      <c r="Q7" s="60"/>
      <c r="R7" s="57"/>
      <c r="S7" s="57"/>
      <c r="T7" s="57"/>
      <c r="U7" s="57"/>
      <c r="V7" s="57"/>
      <c r="W7" s="57"/>
      <c r="X7" s="58"/>
      <c r="Y7" s="58"/>
      <c r="Z7" s="58"/>
      <c r="AA7" s="58"/>
    </row>
    <row r="8">
      <c r="A8" s="61"/>
      <c r="B8" s="62" t="s">
        <v>26</v>
      </c>
      <c r="C8" s="63"/>
      <c r="D8" s="64"/>
      <c r="E8" s="65">
        <v>1.0</v>
      </c>
      <c r="F8" s="66" t="s">
        <v>27</v>
      </c>
      <c r="G8" s="67">
        <v>1.0</v>
      </c>
      <c r="H8" s="68"/>
      <c r="I8" s="67"/>
      <c r="J8" s="67"/>
      <c r="K8" s="69">
        <f t="shared" ref="K8:K17" si="1">(E8*G8*H8)+(I8*J8*E8*G8)</f>
        <v>0</v>
      </c>
      <c r="L8" s="70">
        <v>0.09</v>
      </c>
      <c r="M8" s="71">
        <f t="shared" ref="M8:M17" si="2">K8/(1-L8)</f>
        <v>0</v>
      </c>
      <c r="N8" s="72"/>
      <c r="O8" s="53"/>
      <c r="P8" s="67">
        <v>1.0</v>
      </c>
      <c r="Q8" s="66" t="s">
        <v>27</v>
      </c>
      <c r="R8" s="67">
        <v>1.0</v>
      </c>
      <c r="S8" s="67"/>
      <c r="T8" s="67"/>
      <c r="U8" s="67"/>
      <c r="V8" s="69">
        <f t="shared" ref="V8:V17" si="3">(P8*R8*S8)+(T8*U8*P8*R8)</f>
        <v>0</v>
      </c>
      <c r="W8" s="70">
        <v>0.09</v>
      </c>
      <c r="X8" s="73">
        <f t="shared" ref="X8:X17" si="4">V8/(1-W8)</f>
        <v>0</v>
      </c>
      <c r="Y8" s="69">
        <v>0.0</v>
      </c>
      <c r="Z8" s="70">
        <v>0.09</v>
      </c>
      <c r="AA8" s="73">
        <f t="shared" ref="AA8:AA17" si="5">Y8/(1-Z8)</f>
        <v>0</v>
      </c>
    </row>
    <row r="9">
      <c r="A9" s="74"/>
      <c r="B9" s="62" t="s">
        <v>28</v>
      </c>
      <c r="C9" s="63"/>
      <c r="D9" s="64"/>
      <c r="E9" s="75">
        <v>1.0</v>
      </c>
      <c r="F9" s="66" t="s">
        <v>27</v>
      </c>
      <c r="G9" s="76">
        <v>1.0</v>
      </c>
      <c r="H9" s="77"/>
      <c r="I9" s="76"/>
      <c r="J9" s="76"/>
      <c r="K9" s="69">
        <f t="shared" si="1"/>
        <v>0</v>
      </c>
      <c r="L9" s="70">
        <v>0.09</v>
      </c>
      <c r="M9" s="73">
        <f t="shared" si="2"/>
        <v>0</v>
      </c>
      <c r="N9" s="78"/>
      <c r="O9" s="53"/>
      <c r="P9" s="76">
        <v>1.0</v>
      </c>
      <c r="Q9" s="66" t="s">
        <v>27</v>
      </c>
      <c r="R9" s="76">
        <v>1.0</v>
      </c>
      <c r="S9" s="76"/>
      <c r="T9" s="76"/>
      <c r="U9" s="76"/>
      <c r="V9" s="69">
        <f t="shared" si="3"/>
        <v>0</v>
      </c>
      <c r="W9" s="70">
        <v>0.09</v>
      </c>
      <c r="X9" s="73">
        <f t="shared" si="4"/>
        <v>0</v>
      </c>
      <c r="Y9" s="69">
        <v>0.0</v>
      </c>
      <c r="Z9" s="70">
        <v>0.09</v>
      </c>
      <c r="AA9" s="73">
        <f t="shared" si="5"/>
        <v>0</v>
      </c>
    </row>
    <row r="10">
      <c r="A10" s="74"/>
      <c r="B10" s="79" t="s">
        <v>29</v>
      </c>
      <c r="C10" s="63"/>
      <c r="D10" s="64"/>
      <c r="E10" s="75">
        <v>1.0</v>
      </c>
      <c r="F10" s="66" t="s">
        <v>27</v>
      </c>
      <c r="G10" s="76">
        <v>1.0</v>
      </c>
      <c r="H10" s="77"/>
      <c r="I10" s="76"/>
      <c r="J10" s="76"/>
      <c r="K10" s="69">
        <f t="shared" si="1"/>
        <v>0</v>
      </c>
      <c r="L10" s="70">
        <v>0.09</v>
      </c>
      <c r="M10" s="73">
        <f t="shared" si="2"/>
        <v>0</v>
      </c>
      <c r="N10" s="80"/>
      <c r="O10" s="53"/>
      <c r="P10" s="76">
        <v>1.0</v>
      </c>
      <c r="Q10" s="66" t="s">
        <v>27</v>
      </c>
      <c r="R10" s="76">
        <v>1.0</v>
      </c>
      <c r="S10" s="76"/>
      <c r="T10" s="76"/>
      <c r="U10" s="76"/>
      <c r="V10" s="69">
        <f t="shared" si="3"/>
        <v>0</v>
      </c>
      <c r="W10" s="70">
        <v>0.09</v>
      </c>
      <c r="X10" s="73">
        <f t="shared" si="4"/>
        <v>0</v>
      </c>
      <c r="Y10" s="69">
        <v>0.0</v>
      </c>
      <c r="Z10" s="70">
        <v>0.09</v>
      </c>
      <c r="AA10" s="73">
        <f t="shared" si="5"/>
        <v>0</v>
      </c>
    </row>
    <row r="11">
      <c r="A11" s="74"/>
      <c r="B11" s="62" t="s">
        <v>30</v>
      </c>
      <c r="C11" s="63"/>
      <c r="D11" s="64"/>
      <c r="E11" s="75">
        <v>1.0</v>
      </c>
      <c r="F11" s="66" t="s">
        <v>27</v>
      </c>
      <c r="G11" s="76">
        <v>1.0</v>
      </c>
      <c r="H11" s="77"/>
      <c r="I11" s="76"/>
      <c r="J11" s="76"/>
      <c r="K11" s="69">
        <f t="shared" si="1"/>
        <v>0</v>
      </c>
      <c r="L11" s="70">
        <v>0.09</v>
      </c>
      <c r="M11" s="73">
        <f t="shared" si="2"/>
        <v>0</v>
      </c>
      <c r="N11" s="80"/>
      <c r="O11" s="53"/>
      <c r="P11" s="76">
        <v>1.0</v>
      </c>
      <c r="Q11" s="66" t="s">
        <v>27</v>
      </c>
      <c r="R11" s="76">
        <v>1.0</v>
      </c>
      <c r="S11" s="76"/>
      <c r="T11" s="76"/>
      <c r="U11" s="76"/>
      <c r="V11" s="69">
        <f t="shared" si="3"/>
        <v>0</v>
      </c>
      <c r="W11" s="70">
        <v>0.09</v>
      </c>
      <c r="X11" s="73">
        <f t="shared" si="4"/>
        <v>0</v>
      </c>
      <c r="Y11" s="69">
        <v>0.0</v>
      </c>
      <c r="Z11" s="70">
        <v>0.09</v>
      </c>
      <c r="AA11" s="73">
        <f t="shared" si="5"/>
        <v>0</v>
      </c>
    </row>
    <row r="12">
      <c r="A12" s="74"/>
      <c r="B12" s="62" t="s">
        <v>31</v>
      </c>
      <c r="C12" s="63"/>
      <c r="D12" s="64"/>
      <c r="E12" s="75">
        <v>1.0</v>
      </c>
      <c r="F12" s="66" t="s">
        <v>32</v>
      </c>
      <c r="G12" s="76">
        <v>1.0</v>
      </c>
      <c r="H12" s="77"/>
      <c r="I12" s="76"/>
      <c r="J12" s="76"/>
      <c r="K12" s="69">
        <f t="shared" si="1"/>
        <v>0</v>
      </c>
      <c r="L12" s="70">
        <v>0.09</v>
      </c>
      <c r="M12" s="73">
        <f t="shared" si="2"/>
        <v>0</v>
      </c>
      <c r="N12" s="80"/>
      <c r="O12" s="53"/>
      <c r="P12" s="76">
        <v>1.0</v>
      </c>
      <c r="Q12" s="66" t="s">
        <v>32</v>
      </c>
      <c r="R12" s="76">
        <v>1.0</v>
      </c>
      <c r="S12" s="76"/>
      <c r="T12" s="76"/>
      <c r="U12" s="76"/>
      <c r="V12" s="69">
        <f t="shared" si="3"/>
        <v>0</v>
      </c>
      <c r="W12" s="70">
        <v>0.09</v>
      </c>
      <c r="X12" s="73">
        <f t="shared" si="4"/>
        <v>0</v>
      </c>
      <c r="Y12" s="69">
        <v>0.0</v>
      </c>
      <c r="Z12" s="70">
        <v>0.09</v>
      </c>
      <c r="AA12" s="73">
        <f t="shared" si="5"/>
        <v>0</v>
      </c>
    </row>
    <row r="13">
      <c r="A13" s="74"/>
      <c r="B13" s="62" t="s">
        <v>33</v>
      </c>
      <c r="C13" s="63"/>
      <c r="D13" s="64"/>
      <c r="E13" s="75">
        <v>1.0</v>
      </c>
      <c r="F13" s="66" t="s">
        <v>27</v>
      </c>
      <c r="G13" s="76">
        <v>1.0</v>
      </c>
      <c r="H13" s="77"/>
      <c r="I13" s="76"/>
      <c r="J13" s="76"/>
      <c r="K13" s="69">
        <f t="shared" si="1"/>
        <v>0</v>
      </c>
      <c r="L13" s="70">
        <v>0.09</v>
      </c>
      <c r="M13" s="73">
        <f t="shared" si="2"/>
        <v>0</v>
      </c>
      <c r="N13" s="80"/>
      <c r="O13" s="53"/>
      <c r="P13" s="76">
        <v>1.0</v>
      </c>
      <c r="Q13" s="66" t="s">
        <v>27</v>
      </c>
      <c r="R13" s="76">
        <v>1.0</v>
      </c>
      <c r="S13" s="76"/>
      <c r="T13" s="76"/>
      <c r="U13" s="76"/>
      <c r="V13" s="69">
        <f t="shared" si="3"/>
        <v>0</v>
      </c>
      <c r="W13" s="70">
        <v>0.09</v>
      </c>
      <c r="X13" s="73">
        <f t="shared" si="4"/>
        <v>0</v>
      </c>
      <c r="Y13" s="69">
        <v>0.0</v>
      </c>
      <c r="Z13" s="70">
        <v>0.09</v>
      </c>
      <c r="AA13" s="73">
        <f t="shared" si="5"/>
        <v>0</v>
      </c>
    </row>
    <row r="14">
      <c r="A14" s="74"/>
      <c r="B14" s="62" t="s">
        <v>34</v>
      </c>
      <c r="C14" s="63"/>
      <c r="D14" s="64"/>
      <c r="E14" s="75">
        <v>1.0</v>
      </c>
      <c r="F14" s="66" t="s">
        <v>27</v>
      </c>
      <c r="G14" s="76">
        <v>1.0</v>
      </c>
      <c r="H14" s="77"/>
      <c r="I14" s="76"/>
      <c r="J14" s="76"/>
      <c r="K14" s="69">
        <f t="shared" si="1"/>
        <v>0</v>
      </c>
      <c r="L14" s="70">
        <v>0.09</v>
      </c>
      <c r="M14" s="73">
        <f t="shared" si="2"/>
        <v>0</v>
      </c>
      <c r="N14" s="80"/>
      <c r="O14" s="53"/>
      <c r="P14" s="76">
        <v>1.0</v>
      </c>
      <c r="Q14" s="66" t="s">
        <v>27</v>
      </c>
      <c r="R14" s="76">
        <v>1.0</v>
      </c>
      <c r="S14" s="76"/>
      <c r="T14" s="76"/>
      <c r="U14" s="76"/>
      <c r="V14" s="69">
        <f t="shared" si="3"/>
        <v>0</v>
      </c>
      <c r="W14" s="70">
        <v>0.09</v>
      </c>
      <c r="X14" s="73">
        <f t="shared" si="4"/>
        <v>0</v>
      </c>
      <c r="Y14" s="69">
        <v>0.0</v>
      </c>
      <c r="Z14" s="70">
        <v>0.09</v>
      </c>
      <c r="AA14" s="73">
        <f t="shared" si="5"/>
        <v>0</v>
      </c>
    </row>
    <row r="15">
      <c r="A15" s="74"/>
      <c r="B15" s="62" t="s">
        <v>35</v>
      </c>
      <c r="C15" s="63"/>
      <c r="D15" s="64"/>
      <c r="E15" s="75">
        <v>1.0</v>
      </c>
      <c r="F15" s="66" t="s">
        <v>27</v>
      </c>
      <c r="G15" s="76">
        <v>1.0</v>
      </c>
      <c r="H15" s="77"/>
      <c r="I15" s="76"/>
      <c r="J15" s="76"/>
      <c r="K15" s="69">
        <f t="shared" si="1"/>
        <v>0</v>
      </c>
      <c r="L15" s="70">
        <v>0.09</v>
      </c>
      <c r="M15" s="73">
        <f t="shared" si="2"/>
        <v>0</v>
      </c>
      <c r="N15" s="80"/>
      <c r="O15" s="53"/>
      <c r="P15" s="76">
        <v>1.0</v>
      </c>
      <c r="Q15" s="66" t="s">
        <v>27</v>
      </c>
      <c r="R15" s="76">
        <v>1.0</v>
      </c>
      <c r="S15" s="76"/>
      <c r="T15" s="76"/>
      <c r="U15" s="76"/>
      <c r="V15" s="69">
        <f t="shared" si="3"/>
        <v>0</v>
      </c>
      <c r="W15" s="70">
        <v>0.09</v>
      </c>
      <c r="X15" s="73">
        <f t="shared" si="4"/>
        <v>0</v>
      </c>
      <c r="Y15" s="69">
        <v>0.0</v>
      </c>
      <c r="Z15" s="70">
        <v>0.09</v>
      </c>
      <c r="AA15" s="73">
        <f t="shared" si="5"/>
        <v>0</v>
      </c>
    </row>
    <row r="16">
      <c r="A16" s="74"/>
      <c r="B16" s="62" t="s">
        <v>36</v>
      </c>
      <c r="C16" s="63"/>
      <c r="D16" s="64"/>
      <c r="E16" s="75">
        <v>1.0</v>
      </c>
      <c r="F16" s="66" t="s">
        <v>27</v>
      </c>
      <c r="G16" s="76">
        <v>1.0</v>
      </c>
      <c r="H16" s="77"/>
      <c r="I16" s="76"/>
      <c r="J16" s="76"/>
      <c r="K16" s="69">
        <f t="shared" si="1"/>
        <v>0</v>
      </c>
      <c r="L16" s="70">
        <v>0.09</v>
      </c>
      <c r="M16" s="73">
        <f t="shared" si="2"/>
        <v>0</v>
      </c>
      <c r="N16" s="80"/>
      <c r="O16" s="53"/>
      <c r="P16" s="76">
        <v>1.0</v>
      </c>
      <c r="Q16" s="66" t="s">
        <v>27</v>
      </c>
      <c r="R16" s="76">
        <v>1.0</v>
      </c>
      <c r="S16" s="76"/>
      <c r="T16" s="76"/>
      <c r="U16" s="76"/>
      <c r="V16" s="69">
        <f t="shared" si="3"/>
        <v>0</v>
      </c>
      <c r="W16" s="70">
        <v>0.09</v>
      </c>
      <c r="X16" s="73">
        <f t="shared" si="4"/>
        <v>0</v>
      </c>
      <c r="Y16" s="69">
        <v>0.0</v>
      </c>
      <c r="Z16" s="70">
        <v>0.09</v>
      </c>
      <c r="AA16" s="73">
        <f t="shared" si="5"/>
        <v>0</v>
      </c>
    </row>
    <row r="17">
      <c r="A17" s="74"/>
      <c r="B17" s="62" t="s">
        <v>37</v>
      </c>
      <c r="C17" s="63"/>
      <c r="D17" s="64"/>
      <c r="E17" s="75">
        <v>1.0</v>
      </c>
      <c r="F17" s="66" t="s">
        <v>27</v>
      </c>
      <c r="G17" s="76">
        <v>1.0</v>
      </c>
      <c r="H17" s="77"/>
      <c r="I17" s="76"/>
      <c r="J17" s="76"/>
      <c r="K17" s="69">
        <f t="shared" si="1"/>
        <v>0</v>
      </c>
      <c r="L17" s="70">
        <v>0.09</v>
      </c>
      <c r="M17" s="73">
        <f t="shared" si="2"/>
        <v>0</v>
      </c>
      <c r="N17" s="80"/>
      <c r="O17" s="53"/>
      <c r="P17" s="76">
        <v>1.0</v>
      </c>
      <c r="Q17" s="66" t="s">
        <v>27</v>
      </c>
      <c r="R17" s="76">
        <v>1.0</v>
      </c>
      <c r="S17" s="76"/>
      <c r="T17" s="76"/>
      <c r="U17" s="76"/>
      <c r="V17" s="69">
        <f t="shared" si="3"/>
        <v>0</v>
      </c>
      <c r="W17" s="70">
        <v>0.09</v>
      </c>
      <c r="X17" s="73">
        <f t="shared" si="4"/>
        <v>0</v>
      </c>
      <c r="Y17" s="69">
        <v>0.0</v>
      </c>
      <c r="Z17" s="70">
        <v>0.09</v>
      </c>
      <c r="AA17" s="73">
        <f t="shared" si="5"/>
        <v>0</v>
      </c>
    </row>
    <row r="18">
      <c r="A18" s="81"/>
      <c r="B18" s="82"/>
      <c r="C18" s="82"/>
      <c r="D18" s="83"/>
      <c r="E18" s="84"/>
      <c r="F18" s="85"/>
      <c r="G18" s="86"/>
      <c r="H18" s="86"/>
      <c r="I18" s="87"/>
      <c r="J18" s="87"/>
      <c r="K18" s="87"/>
      <c r="L18" s="88" t="s">
        <v>38</v>
      </c>
      <c r="M18" s="89">
        <f>SUM(M8:M17)</f>
        <v>0</v>
      </c>
      <c r="N18" s="90"/>
      <c r="O18" s="53"/>
      <c r="P18" s="91"/>
      <c r="Q18" s="85"/>
      <c r="R18" s="86"/>
      <c r="S18" s="86"/>
      <c r="T18" s="87"/>
      <c r="U18" s="87"/>
      <c r="V18" s="87"/>
      <c r="W18" s="88" t="s">
        <v>38</v>
      </c>
      <c r="X18" s="89">
        <f>SUM(X8:X17)</f>
        <v>0</v>
      </c>
      <c r="Y18" s="89"/>
      <c r="Z18" s="88" t="s">
        <v>38</v>
      </c>
      <c r="AA18" s="89">
        <f>SUM(AA8:AA17)</f>
        <v>0</v>
      </c>
    </row>
    <row r="19" ht="15.75" customHeight="1">
      <c r="A19" s="54" t="s">
        <v>39</v>
      </c>
      <c r="B19" s="55"/>
      <c r="C19" s="55"/>
      <c r="D19" s="56"/>
      <c r="E19" s="92"/>
      <c r="F19" s="60"/>
      <c r="G19" s="57"/>
      <c r="H19" s="57"/>
      <c r="I19" s="57"/>
      <c r="J19" s="57"/>
      <c r="K19" s="57"/>
      <c r="L19" s="57"/>
      <c r="M19" s="58"/>
      <c r="N19" s="93"/>
      <c r="O19" s="53"/>
      <c r="P19" s="94"/>
      <c r="Q19" s="94"/>
      <c r="R19" s="95"/>
      <c r="S19" s="95"/>
      <c r="T19" s="95"/>
      <c r="U19" s="95"/>
      <c r="V19" s="95"/>
      <c r="W19" s="95"/>
      <c r="X19" s="96"/>
      <c r="Y19" s="96"/>
      <c r="Z19" s="95"/>
      <c r="AA19" s="96"/>
    </row>
    <row r="20" ht="15.75" customHeight="1">
      <c r="A20" s="97"/>
      <c r="B20" s="98" t="s">
        <v>40</v>
      </c>
      <c r="C20" s="99"/>
      <c r="D20" s="100"/>
      <c r="E20" s="101"/>
      <c r="F20" s="102"/>
      <c r="G20" s="103"/>
      <c r="H20" s="103"/>
      <c r="I20" s="103"/>
      <c r="J20" s="103"/>
      <c r="K20" s="103"/>
      <c r="L20" s="103"/>
      <c r="M20" s="104"/>
      <c r="N20" s="105"/>
      <c r="O20" s="53"/>
      <c r="P20" s="106"/>
      <c r="Q20" s="106"/>
      <c r="R20" s="107"/>
      <c r="S20" s="107"/>
      <c r="T20" s="107"/>
      <c r="U20" s="107"/>
      <c r="V20" s="107"/>
      <c r="W20" s="107"/>
      <c r="X20" s="108"/>
      <c r="Y20" s="108"/>
      <c r="Z20" s="107"/>
      <c r="AA20" s="108"/>
    </row>
    <row r="21" ht="15.75" customHeight="1">
      <c r="A21" s="81"/>
      <c r="B21" s="109" t="s">
        <v>41</v>
      </c>
      <c r="C21" s="110"/>
      <c r="D21" s="111"/>
      <c r="E21" s="112">
        <v>1.0</v>
      </c>
      <c r="F21" s="112" t="s">
        <v>27</v>
      </c>
      <c r="G21" s="113">
        <v>1.0</v>
      </c>
      <c r="H21" s="114"/>
      <c r="I21" s="113"/>
      <c r="J21" s="113"/>
      <c r="K21" s="69">
        <f t="shared" ref="K21:K22" si="6">(E21*G21*H21)+(I21*J21*E21*G21)</f>
        <v>0</v>
      </c>
      <c r="L21" s="70">
        <v>0.09</v>
      </c>
      <c r="M21" s="73">
        <f t="shared" ref="M21:M22" si="7">K21/(1-L21)</f>
        <v>0</v>
      </c>
      <c r="N21" s="80"/>
      <c r="O21" s="53"/>
      <c r="P21" s="112">
        <v>1.0</v>
      </c>
      <c r="Q21" s="112" t="s">
        <v>27</v>
      </c>
      <c r="R21" s="113">
        <v>1.0</v>
      </c>
      <c r="S21" s="113"/>
      <c r="T21" s="113"/>
      <c r="U21" s="113"/>
      <c r="V21" s="69">
        <f t="shared" ref="V21:V22" si="8">(P21*R21*S21)+(T21*U21*P21*R21)</f>
        <v>0</v>
      </c>
      <c r="W21" s="70">
        <v>0.09</v>
      </c>
      <c r="X21" s="73">
        <f t="shared" ref="X21:X22" si="9">V21/(1-W21)</f>
        <v>0</v>
      </c>
      <c r="Y21" s="69">
        <v>0.0</v>
      </c>
      <c r="Z21" s="70">
        <v>0.09</v>
      </c>
      <c r="AA21" s="73">
        <f t="shared" ref="AA21:AA22" si="10">Y21/(1-Z21)</f>
        <v>0</v>
      </c>
    </row>
    <row r="22" ht="15.75" customHeight="1">
      <c r="A22" s="81"/>
      <c r="B22" s="115" t="s">
        <v>42</v>
      </c>
      <c r="C22" s="116"/>
      <c r="D22" s="117"/>
      <c r="E22" s="118">
        <v>1.0</v>
      </c>
      <c r="F22" s="112" t="s">
        <v>27</v>
      </c>
      <c r="G22" s="69">
        <v>1.0</v>
      </c>
      <c r="H22" s="119"/>
      <c r="I22" s="69"/>
      <c r="J22" s="69"/>
      <c r="K22" s="69">
        <f t="shared" si="6"/>
        <v>0</v>
      </c>
      <c r="L22" s="70">
        <v>0.09</v>
      </c>
      <c r="M22" s="73">
        <f t="shared" si="7"/>
        <v>0</v>
      </c>
      <c r="N22" s="80"/>
      <c r="O22" s="53"/>
      <c r="P22" s="118">
        <v>1.0</v>
      </c>
      <c r="Q22" s="112" t="s">
        <v>27</v>
      </c>
      <c r="R22" s="69">
        <v>1.0</v>
      </c>
      <c r="S22" s="69"/>
      <c r="T22" s="69"/>
      <c r="U22" s="69"/>
      <c r="V22" s="69">
        <f t="shared" si="8"/>
        <v>0</v>
      </c>
      <c r="W22" s="70">
        <v>0.09</v>
      </c>
      <c r="X22" s="73">
        <f t="shared" si="9"/>
        <v>0</v>
      </c>
      <c r="Y22" s="69">
        <v>0.0</v>
      </c>
      <c r="Z22" s="70">
        <v>0.09</v>
      </c>
      <c r="AA22" s="73">
        <f t="shared" si="10"/>
        <v>0</v>
      </c>
    </row>
    <row r="23" ht="15.75" customHeight="1">
      <c r="A23" s="54" t="s">
        <v>43</v>
      </c>
      <c r="B23" s="55"/>
      <c r="C23" s="55"/>
      <c r="D23" s="56"/>
      <c r="E23" s="120"/>
      <c r="F23" s="94"/>
      <c r="G23" s="95"/>
      <c r="H23" s="95"/>
      <c r="I23" s="95"/>
      <c r="J23" s="95"/>
      <c r="K23" s="95"/>
      <c r="L23" s="95"/>
      <c r="M23" s="96"/>
      <c r="N23" s="121"/>
      <c r="O23" s="53"/>
      <c r="P23" s="94"/>
      <c r="Q23" s="94"/>
      <c r="R23" s="95"/>
      <c r="S23" s="95"/>
      <c r="T23" s="95"/>
      <c r="U23" s="95"/>
      <c r="V23" s="95"/>
      <c r="W23" s="95"/>
      <c r="X23" s="96"/>
      <c r="Y23" s="95"/>
      <c r="Z23" s="95"/>
      <c r="AA23" s="96"/>
    </row>
    <row r="24" ht="15.75" customHeight="1">
      <c r="A24" s="122"/>
      <c r="B24" s="123" t="s">
        <v>44</v>
      </c>
      <c r="C24" s="124"/>
      <c r="D24" s="125"/>
      <c r="E24" s="126">
        <v>1.0</v>
      </c>
      <c r="F24" s="112" t="s">
        <v>45</v>
      </c>
      <c r="G24" s="127">
        <v>1.0</v>
      </c>
      <c r="H24" s="127"/>
      <c r="I24" s="127"/>
      <c r="J24" s="127"/>
      <c r="K24" s="69"/>
      <c r="L24" s="70">
        <v>0.09</v>
      </c>
      <c r="M24" s="73">
        <f t="shared" ref="M24:M25" si="11">K24/(1-L24)</f>
        <v>0</v>
      </c>
      <c r="N24" s="80"/>
      <c r="O24" s="53"/>
      <c r="P24" s="126">
        <v>1.0</v>
      </c>
      <c r="Q24" s="112" t="s">
        <v>45</v>
      </c>
      <c r="R24" s="127">
        <v>1.0</v>
      </c>
      <c r="S24" s="127"/>
      <c r="T24" s="127"/>
      <c r="U24" s="127"/>
      <c r="V24" s="69">
        <f t="shared" ref="V24:V25" si="12">(P24*R24*S24)+(T24*U24*P24*R24)</f>
        <v>0</v>
      </c>
      <c r="W24" s="70">
        <v>0.09</v>
      </c>
      <c r="X24" s="73">
        <f t="shared" ref="X24:X25" si="13">V24/(1-W24)</f>
        <v>0</v>
      </c>
      <c r="Y24" s="69">
        <v>0.0</v>
      </c>
      <c r="Z24" s="70">
        <v>0.09</v>
      </c>
      <c r="AA24" s="73">
        <f t="shared" ref="AA24:AA25" si="14">Y24/(1-Z24)</f>
        <v>0</v>
      </c>
    </row>
    <row r="25" ht="15.75" customHeight="1">
      <c r="A25" s="128"/>
      <c r="B25" s="123" t="s">
        <v>46</v>
      </c>
      <c r="C25" s="124"/>
      <c r="D25" s="125"/>
      <c r="E25" s="126">
        <v>1.0</v>
      </c>
      <c r="F25" s="112" t="s">
        <v>45</v>
      </c>
      <c r="G25" s="127">
        <v>1.0</v>
      </c>
      <c r="H25" s="127"/>
      <c r="I25" s="127"/>
      <c r="J25" s="127"/>
      <c r="K25" s="69"/>
      <c r="L25" s="70">
        <v>0.09</v>
      </c>
      <c r="M25" s="73">
        <f t="shared" si="11"/>
        <v>0</v>
      </c>
      <c r="N25" s="80"/>
      <c r="O25" s="53"/>
      <c r="P25" s="126">
        <v>1.0</v>
      </c>
      <c r="Q25" s="112" t="s">
        <v>45</v>
      </c>
      <c r="R25" s="127">
        <v>1.0</v>
      </c>
      <c r="S25" s="127"/>
      <c r="T25" s="127"/>
      <c r="U25" s="127"/>
      <c r="V25" s="69">
        <f t="shared" si="12"/>
        <v>0</v>
      </c>
      <c r="W25" s="70">
        <v>0.09</v>
      </c>
      <c r="X25" s="73">
        <f t="shared" si="13"/>
        <v>0</v>
      </c>
      <c r="Y25" s="69">
        <v>0.0</v>
      </c>
      <c r="Z25" s="70">
        <v>0.09</v>
      </c>
      <c r="AA25" s="73">
        <f t="shared" si="14"/>
        <v>0</v>
      </c>
    </row>
    <row r="26" ht="15.75" customHeight="1">
      <c r="A26" s="97"/>
      <c r="B26" s="98" t="s">
        <v>47</v>
      </c>
      <c r="C26" s="99"/>
      <c r="D26" s="100"/>
      <c r="E26" s="129"/>
      <c r="F26" s="106"/>
      <c r="G26" s="107"/>
      <c r="H26" s="107"/>
      <c r="I26" s="107"/>
      <c r="J26" s="107"/>
      <c r="K26" s="107"/>
      <c r="L26" s="107"/>
      <c r="M26" s="108"/>
      <c r="N26" s="130"/>
      <c r="O26" s="53"/>
      <c r="P26" s="106"/>
      <c r="Q26" s="106"/>
      <c r="R26" s="107"/>
      <c r="S26" s="107"/>
      <c r="T26" s="107"/>
      <c r="U26" s="107"/>
      <c r="V26" s="107"/>
      <c r="W26" s="107"/>
      <c r="X26" s="108"/>
      <c r="Y26" s="107"/>
      <c r="Z26" s="107"/>
      <c r="AA26" s="108"/>
    </row>
    <row r="27" ht="15.75" customHeight="1">
      <c r="A27" s="81"/>
      <c r="B27" s="109" t="s">
        <v>48</v>
      </c>
      <c r="C27" s="110"/>
      <c r="D27" s="111"/>
      <c r="E27" s="112">
        <v>1.0</v>
      </c>
      <c r="F27" s="112" t="s">
        <v>49</v>
      </c>
      <c r="G27" s="113">
        <v>1.0</v>
      </c>
      <c r="H27" s="113"/>
      <c r="I27" s="113"/>
      <c r="J27" s="113"/>
      <c r="K27" s="69">
        <f t="shared" ref="K27:K29" si="15">(E27*G27*H27)+(I27*J27*E27*G27)</f>
        <v>0</v>
      </c>
      <c r="L27" s="70">
        <v>0.09</v>
      </c>
      <c r="M27" s="73">
        <f t="shared" ref="M27:M29" si="16">K27/(1-L27)</f>
        <v>0</v>
      </c>
      <c r="N27" s="80"/>
      <c r="O27" s="53"/>
      <c r="P27" s="112">
        <v>1.0</v>
      </c>
      <c r="Q27" s="112" t="s">
        <v>49</v>
      </c>
      <c r="R27" s="113">
        <v>1.0</v>
      </c>
      <c r="S27" s="113"/>
      <c r="T27" s="113"/>
      <c r="U27" s="113"/>
      <c r="V27" s="69">
        <f t="shared" ref="V27:V29" si="17">(P27*R27*S27)+(T27*U27*P27*R27)</f>
        <v>0</v>
      </c>
      <c r="W27" s="70">
        <v>0.09</v>
      </c>
      <c r="X27" s="73">
        <f t="shared" ref="X27:X29" si="18">V27/(1-W27)</f>
        <v>0</v>
      </c>
      <c r="Y27" s="69">
        <v>0.0</v>
      </c>
      <c r="Z27" s="70">
        <v>0.09</v>
      </c>
      <c r="AA27" s="73">
        <f t="shared" ref="AA27:AA29" si="19">Y27/(1-Z27)</f>
        <v>0</v>
      </c>
    </row>
    <row r="28" ht="15.75" customHeight="1">
      <c r="A28" s="81"/>
      <c r="B28" s="115" t="s">
        <v>50</v>
      </c>
      <c r="C28" s="116"/>
      <c r="D28" s="117"/>
      <c r="E28" s="118">
        <v>1.0</v>
      </c>
      <c r="F28" s="118" t="s">
        <v>49</v>
      </c>
      <c r="G28" s="119">
        <v>1.0</v>
      </c>
      <c r="H28" s="69"/>
      <c r="I28" s="69"/>
      <c r="J28" s="69"/>
      <c r="K28" s="69">
        <f t="shared" si="15"/>
        <v>0</v>
      </c>
      <c r="L28" s="70">
        <v>0.09</v>
      </c>
      <c r="M28" s="73">
        <f t="shared" si="16"/>
        <v>0</v>
      </c>
      <c r="N28" s="80"/>
      <c r="O28" s="53"/>
      <c r="P28" s="118">
        <v>1.0</v>
      </c>
      <c r="Q28" s="118" t="s">
        <v>49</v>
      </c>
      <c r="R28" s="119">
        <v>1.0</v>
      </c>
      <c r="S28" s="113"/>
      <c r="T28" s="69"/>
      <c r="U28" s="69"/>
      <c r="V28" s="69">
        <f t="shared" si="17"/>
        <v>0</v>
      </c>
      <c r="W28" s="70">
        <v>0.09</v>
      </c>
      <c r="X28" s="73">
        <f t="shared" si="18"/>
        <v>0</v>
      </c>
      <c r="Y28" s="69">
        <v>0.0</v>
      </c>
      <c r="Z28" s="70">
        <v>0.09</v>
      </c>
      <c r="AA28" s="73">
        <f t="shared" si="19"/>
        <v>0</v>
      </c>
    </row>
    <row r="29" ht="15.75" customHeight="1">
      <c r="A29" s="81"/>
      <c r="B29" s="62" t="s">
        <v>51</v>
      </c>
      <c r="C29" s="63"/>
      <c r="D29" s="64"/>
      <c r="E29" s="131">
        <v>1.0</v>
      </c>
      <c r="F29" s="131" t="s">
        <v>49</v>
      </c>
      <c r="G29" s="132">
        <v>1.0</v>
      </c>
      <c r="H29" s="133"/>
      <c r="I29" s="133"/>
      <c r="J29" s="133"/>
      <c r="K29" s="69">
        <f t="shared" si="15"/>
        <v>0</v>
      </c>
      <c r="L29" s="70">
        <v>0.09</v>
      </c>
      <c r="M29" s="73">
        <f t="shared" si="16"/>
        <v>0</v>
      </c>
      <c r="N29" s="80"/>
      <c r="O29" s="53"/>
      <c r="P29" s="131">
        <v>1.0</v>
      </c>
      <c r="Q29" s="131" t="s">
        <v>49</v>
      </c>
      <c r="R29" s="132">
        <v>1.0</v>
      </c>
      <c r="S29" s="133"/>
      <c r="T29" s="133"/>
      <c r="U29" s="133"/>
      <c r="V29" s="69">
        <f t="shared" si="17"/>
        <v>0</v>
      </c>
      <c r="W29" s="70">
        <v>0.09</v>
      </c>
      <c r="X29" s="73">
        <f t="shared" si="18"/>
        <v>0</v>
      </c>
      <c r="Y29" s="69">
        <v>0.0</v>
      </c>
      <c r="Z29" s="70">
        <v>0.09</v>
      </c>
      <c r="AA29" s="73">
        <f t="shared" si="19"/>
        <v>0</v>
      </c>
    </row>
    <row r="30" ht="15.75" customHeight="1">
      <c r="A30" s="97"/>
      <c r="B30" s="98" t="s">
        <v>52</v>
      </c>
      <c r="C30" s="99"/>
      <c r="D30" s="100"/>
      <c r="E30" s="129"/>
      <c r="F30" s="106"/>
      <c r="G30" s="107"/>
      <c r="H30" s="107"/>
      <c r="I30" s="107"/>
      <c r="J30" s="107"/>
      <c r="K30" s="107"/>
      <c r="L30" s="107"/>
      <c r="M30" s="108"/>
      <c r="N30" s="130"/>
      <c r="O30" s="53"/>
      <c r="P30" s="106"/>
      <c r="Q30" s="106"/>
      <c r="R30" s="107"/>
      <c r="S30" s="107"/>
      <c r="T30" s="107"/>
      <c r="U30" s="107"/>
      <c r="V30" s="107"/>
      <c r="W30" s="107"/>
      <c r="X30" s="108"/>
      <c r="Y30" s="107"/>
      <c r="Z30" s="107"/>
      <c r="AA30" s="108"/>
    </row>
    <row r="31" ht="15.75" customHeight="1">
      <c r="A31" s="74"/>
      <c r="B31" s="115" t="s">
        <v>53</v>
      </c>
      <c r="C31" s="116"/>
      <c r="D31" s="117"/>
      <c r="E31" s="112">
        <v>1.0</v>
      </c>
      <c r="F31" s="112" t="s">
        <v>54</v>
      </c>
      <c r="G31" s="113">
        <v>1.0</v>
      </c>
      <c r="H31" s="113"/>
      <c r="I31" s="113"/>
      <c r="J31" s="113"/>
      <c r="K31" s="69">
        <f t="shared" ref="K31:K42" si="20">(E31*G31*H31)+(I31*J31*E31*G31)</f>
        <v>0</v>
      </c>
      <c r="L31" s="70">
        <v>0.09</v>
      </c>
      <c r="M31" s="73">
        <f t="shared" ref="M31:M42" si="21">K31/(1-L31)</f>
        <v>0</v>
      </c>
      <c r="N31" s="80"/>
      <c r="O31" s="53"/>
      <c r="P31" s="112">
        <v>1.0</v>
      </c>
      <c r="Q31" s="112" t="s">
        <v>54</v>
      </c>
      <c r="R31" s="113">
        <v>1.0</v>
      </c>
      <c r="S31" s="113"/>
      <c r="T31" s="113"/>
      <c r="U31" s="113"/>
      <c r="V31" s="69">
        <f t="shared" ref="V31:V42" si="22">(P31*R31*S31)+(T31*U31*P31*R31)</f>
        <v>0</v>
      </c>
      <c r="W31" s="70">
        <v>0.09</v>
      </c>
      <c r="X31" s="73">
        <f t="shared" ref="X31:X42" si="23">V31/(1-W31)</f>
        <v>0</v>
      </c>
      <c r="Y31" s="69">
        <v>0.0</v>
      </c>
      <c r="Z31" s="70">
        <v>0.09</v>
      </c>
      <c r="AA31" s="73">
        <f t="shared" ref="AA31:AA42" si="24">Y31/(1-Z31)</f>
        <v>0</v>
      </c>
    </row>
    <row r="32" ht="15.75" customHeight="1">
      <c r="A32" s="81"/>
      <c r="B32" s="115" t="s">
        <v>55</v>
      </c>
      <c r="C32" s="116"/>
      <c r="D32" s="117"/>
      <c r="E32" s="112">
        <v>1.0</v>
      </c>
      <c r="F32" s="112" t="s">
        <v>56</v>
      </c>
      <c r="G32" s="113">
        <v>1.0</v>
      </c>
      <c r="H32" s="113"/>
      <c r="I32" s="113"/>
      <c r="J32" s="113"/>
      <c r="K32" s="69">
        <f t="shared" si="20"/>
        <v>0</v>
      </c>
      <c r="L32" s="70">
        <v>0.09</v>
      </c>
      <c r="M32" s="73">
        <f t="shared" si="21"/>
        <v>0</v>
      </c>
      <c r="N32" s="80"/>
      <c r="O32" s="53"/>
      <c r="P32" s="112">
        <v>1.0</v>
      </c>
      <c r="Q32" s="112" t="s">
        <v>56</v>
      </c>
      <c r="R32" s="113">
        <v>1.0</v>
      </c>
      <c r="S32" s="113"/>
      <c r="T32" s="113"/>
      <c r="U32" s="113"/>
      <c r="V32" s="69">
        <f t="shared" si="22"/>
        <v>0</v>
      </c>
      <c r="W32" s="70">
        <v>0.09</v>
      </c>
      <c r="X32" s="73">
        <f t="shared" si="23"/>
        <v>0</v>
      </c>
      <c r="Y32" s="69">
        <v>0.0</v>
      </c>
      <c r="Z32" s="70">
        <v>0.09</v>
      </c>
      <c r="AA32" s="73">
        <f t="shared" si="24"/>
        <v>0</v>
      </c>
    </row>
    <row r="33" ht="15.75" customHeight="1">
      <c r="A33" s="74"/>
      <c r="B33" s="115" t="s">
        <v>57</v>
      </c>
      <c r="C33" s="116"/>
      <c r="D33" s="117"/>
      <c r="E33" s="118">
        <v>1.0</v>
      </c>
      <c r="F33" s="118" t="s">
        <v>27</v>
      </c>
      <c r="G33" s="69">
        <v>1.0</v>
      </c>
      <c r="H33" s="69"/>
      <c r="I33" s="69"/>
      <c r="J33" s="69"/>
      <c r="K33" s="69">
        <f t="shared" si="20"/>
        <v>0</v>
      </c>
      <c r="L33" s="70">
        <v>0.09</v>
      </c>
      <c r="M33" s="73">
        <f t="shared" si="21"/>
        <v>0</v>
      </c>
      <c r="N33" s="80"/>
      <c r="O33" s="53"/>
      <c r="P33" s="118">
        <v>1.0</v>
      </c>
      <c r="Q33" s="118" t="s">
        <v>27</v>
      </c>
      <c r="R33" s="69">
        <v>1.0</v>
      </c>
      <c r="S33" s="69"/>
      <c r="T33" s="69"/>
      <c r="U33" s="69"/>
      <c r="V33" s="69">
        <f t="shared" si="22"/>
        <v>0</v>
      </c>
      <c r="W33" s="70">
        <v>0.09</v>
      </c>
      <c r="X33" s="73">
        <f t="shared" si="23"/>
        <v>0</v>
      </c>
      <c r="Y33" s="69">
        <v>0.0</v>
      </c>
      <c r="Z33" s="70">
        <v>0.09</v>
      </c>
      <c r="AA33" s="73">
        <f t="shared" si="24"/>
        <v>0</v>
      </c>
    </row>
    <row r="34" ht="15.75" customHeight="1">
      <c r="A34" s="74"/>
      <c r="B34" s="115" t="s">
        <v>58</v>
      </c>
      <c r="C34" s="116"/>
      <c r="D34" s="117"/>
      <c r="E34" s="118">
        <v>1.0</v>
      </c>
      <c r="F34" s="118" t="s">
        <v>27</v>
      </c>
      <c r="G34" s="69">
        <v>1.0</v>
      </c>
      <c r="H34" s="69"/>
      <c r="I34" s="133"/>
      <c r="J34" s="133"/>
      <c r="K34" s="69">
        <f t="shared" si="20"/>
        <v>0</v>
      </c>
      <c r="L34" s="70">
        <v>0.09</v>
      </c>
      <c r="M34" s="73">
        <f t="shared" si="21"/>
        <v>0</v>
      </c>
      <c r="N34" s="80"/>
      <c r="O34" s="53"/>
      <c r="P34" s="118">
        <v>1.0</v>
      </c>
      <c r="Q34" s="118" t="s">
        <v>27</v>
      </c>
      <c r="R34" s="69">
        <v>1.0</v>
      </c>
      <c r="S34" s="69"/>
      <c r="T34" s="133"/>
      <c r="U34" s="133"/>
      <c r="V34" s="69">
        <f t="shared" si="22"/>
        <v>0</v>
      </c>
      <c r="W34" s="70">
        <v>0.09</v>
      </c>
      <c r="X34" s="73">
        <f t="shared" si="23"/>
        <v>0</v>
      </c>
      <c r="Y34" s="69">
        <v>0.0</v>
      </c>
      <c r="Z34" s="70">
        <v>0.09</v>
      </c>
      <c r="AA34" s="73">
        <f t="shared" si="24"/>
        <v>0</v>
      </c>
    </row>
    <row r="35" ht="15.75" customHeight="1">
      <c r="A35" s="74"/>
      <c r="B35" s="115" t="s">
        <v>59</v>
      </c>
      <c r="C35" s="116"/>
      <c r="D35" s="117"/>
      <c r="E35" s="112">
        <v>1.0</v>
      </c>
      <c r="F35" s="118" t="s">
        <v>27</v>
      </c>
      <c r="G35" s="113">
        <v>1.0</v>
      </c>
      <c r="H35" s="113"/>
      <c r="I35" s="113"/>
      <c r="J35" s="113"/>
      <c r="K35" s="69">
        <f t="shared" si="20"/>
        <v>0</v>
      </c>
      <c r="L35" s="70">
        <v>0.09</v>
      </c>
      <c r="M35" s="73">
        <f t="shared" si="21"/>
        <v>0</v>
      </c>
      <c r="N35" s="80"/>
      <c r="O35" s="53"/>
      <c r="P35" s="112">
        <v>1.0</v>
      </c>
      <c r="Q35" s="118" t="s">
        <v>27</v>
      </c>
      <c r="R35" s="113">
        <v>1.0</v>
      </c>
      <c r="S35" s="113"/>
      <c r="T35" s="113"/>
      <c r="U35" s="113"/>
      <c r="V35" s="69">
        <f t="shared" si="22"/>
        <v>0</v>
      </c>
      <c r="W35" s="70">
        <v>0.09</v>
      </c>
      <c r="X35" s="73">
        <f t="shared" si="23"/>
        <v>0</v>
      </c>
      <c r="Y35" s="69">
        <v>0.0</v>
      </c>
      <c r="Z35" s="70">
        <v>0.09</v>
      </c>
      <c r="AA35" s="73">
        <f t="shared" si="24"/>
        <v>0</v>
      </c>
    </row>
    <row r="36" ht="15.75" customHeight="1">
      <c r="A36" s="74"/>
      <c r="B36" s="134" t="s">
        <v>60</v>
      </c>
      <c r="C36" s="135"/>
      <c r="D36" s="39"/>
      <c r="E36" s="112">
        <v>1.0</v>
      </c>
      <c r="F36" s="118" t="s">
        <v>27</v>
      </c>
      <c r="G36" s="113">
        <v>1.0</v>
      </c>
      <c r="H36" s="113"/>
      <c r="I36" s="113"/>
      <c r="J36" s="113"/>
      <c r="K36" s="69">
        <f t="shared" si="20"/>
        <v>0</v>
      </c>
      <c r="L36" s="70">
        <v>0.09</v>
      </c>
      <c r="M36" s="73">
        <f t="shared" si="21"/>
        <v>0</v>
      </c>
      <c r="N36" s="80"/>
      <c r="O36" s="53"/>
      <c r="P36" s="112">
        <v>1.0</v>
      </c>
      <c r="Q36" s="118" t="s">
        <v>27</v>
      </c>
      <c r="R36" s="113">
        <v>1.0</v>
      </c>
      <c r="S36" s="113"/>
      <c r="T36" s="113"/>
      <c r="U36" s="113"/>
      <c r="V36" s="69">
        <f t="shared" si="22"/>
        <v>0</v>
      </c>
      <c r="W36" s="70">
        <v>0.09</v>
      </c>
      <c r="X36" s="73">
        <f t="shared" si="23"/>
        <v>0</v>
      </c>
      <c r="Y36" s="69">
        <v>0.0</v>
      </c>
      <c r="Z36" s="70">
        <v>0.09</v>
      </c>
      <c r="AA36" s="73">
        <f t="shared" si="24"/>
        <v>0</v>
      </c>
    </row>
    <row r="37" ht="15.75" customHeight="1">
      <c r="A37" s="74"/>
      <c r="B37" s="109" t="s">
        <v>61</v>
      </c>
      <c r="C37" s="110"/>
      <c r="D37" s="111"/>
      <c r="E37" s="112">
        <v>1.0</v>
      </c>
      <c r="F37" s="118" t="s">
        <v>27</v>
      </c>
      <c r="G37" s="113">
        <v>1.0</v>
      </c>
      <c r="H37" s="113"/>
      <c r="I37" s="113"/>
      <c r="J37" s="113"/>
      <c r="K37" s="69">
        <f t="shared" si="20"/>
        <v>0</v>
      </c>
      <c r="L37" s="70">
        <v>0.09</v>
      </c>
      <c r="M37" s="73">
        <f t="shared" si="21"/>
        <v>0</v>
      </c>
      <c r="N37" s="80"/>
      <c r="O37" s="53"/>
      <c r="P37" s="112">
        <v>1.0</v>
      </c>
      <c r="Q37" s="118" t="s">
        <v>27</v>
      </c>
      <c r="R37" s="113">
        <v>1.0</v>
      </c>
      <c r="S37" s="113"/>
      <c r="T37" s="113"/>
      <c r="U37" s="113"/>
      <c r="V37" s="69">
        <f t="shared" si="22"/>
        <v>0</v>
      </c>
      <c r="W37" s="70">
        <v>0.09</v>
      </c>
      <c r="X37" s="73">
        <f t="shared" si="23"/>
        <v>0</v>
      </c>
      <c r="Y37" s="69">
        <v>0.0</v>
      </c>
      <c r="Z37" s="70">
        <v>0.09</v>
      </c>
      <c r="AA37" s="73">
        <f t="shared" si="24"/>
        <v>0</v>
      </c>
    </row>
    <row r="38" ht="15.75" customHeight="1">
      <c r="A38" s="74"/>
      <c r="B38" s="109" t="s">
        <v>62</v>
      </c>
      <c r="C38" s="110"/>
      <c r="D38" s="111"/>
      <c r="E38" s="112">
        <v>1.0</v>
      </c>
      <c r="F38" s="118" t="s">
        <v>27</v>
      </c>
      <c r="G38" s="113">
        <v>1.0</v>
      </c>
      <c r="H38" s="113"/>
      <c r="I38" s="113"/>
      <c r="J38" s="113"/>
      <c r="K38" s="69">
        <f t="shared" si="20"/>
        <v>0</v>
      </c>
      <c r="L38" s="70">
        <v>0.09</v>
      </c>
      <c r="M38" s="73">
        <f t="shared" si="21"/>
        <v>0</v>
      </c>
      <c r="N38" s="80"/>
      <c r="O38" s="53"/>
      <c r="P38" s="112">
        <v>1.0</v>
      </c>
      <c r="Q38" s="118" t="s">
        <v>27</v>
      </c>
      <c r="R38" s="113">
        <v>1.0</v>
      </c>
      <c r="S38" s="113"/>
      <c r="T38" s="113"/>
      <c r="U38" s="113"/>
      <c r="V38" s="69">
        <f t="shared" si="22"/>
        <v>0</v>
      </c>
      <c r="W38" s="70">
        <v>0.09</v>
      </c>
      <c r="X38" s="73">
        <f t="shared" si="23"/>
        <v>0</v>
      </c>
      <c r="Y38" s="69">
        <v>0.0</v>
      </c>
      <c r="Z38" s="70">
        <v>0.09</v>
      </c>
      <c r="AA38" s="73">
        <f t="shared" si="24"/>
        <v>0</v>
      </c>
    </row>
    <row r="39" ht="15.75" customHeight="1">
      <c r="A39" s="74"/>
      <c r="B39" s="109" t="s">
        <v>63</v>
      </c>
      <c r="C39" s="110"/>
      <c r="D39" s="111"/>
      <c r="E39" s="112">
        <v>1.0</v>
      </c>
      <c r="F39" s="118" t="s">
        <v>27</v>
      </c>
      <c r="G39" s="113">
        <v>1.0</v>
      </c>
      <c r="H39" s="113"/>
      <c r="I39" s="113"/>
      <c r="J39" s="113"/>
      <c r="K39" s="69">
        <f t="shared" si="20"/>
        <v>0</v>
      </c>
      <c r="L39" s="70">
        <v>0.09</v>
      </c>
      <c r="M39" s="73">
        <f t="shared" si="21"/>
        <v>0</v>
      </c>
      <c r="N39" s="80"/>
      <c r="O39" s="53"/>
      <c r="P39" s="112">
        <v>1.0</v>
      </c>
      <c r="Q39" s="118" t="s">
        <v>27</v>
      </c>
      <c r="R39" s="113">
        <v>1.0</v>
      </c>
      <c r="S39" s="113"/>
      <c r="T39" s="113"/>
      <c r="U39" s="113"/>
      <c r="V39" s="69">
        <f t="shared" si="22"/>
        <v>0</v>
      </c>
      <c r="W39" s="70">
        <v>0.09</v>
      </c>
      <c r="X39" s="73">
        <f t="shared" si="23"/>
        <v>0</v>
      </c>
      <c r="Y39" s="69">
        <v>0.0</v>
      </c>
      <c r="Z39" s="70">
        <v>0.09</v>
      </c>
      <c r="AA39" s="73">
        <f t="shared" si="24"/>
        <v>0</v>
      </c>
    </row>
    <row r="40" ht="15.75" customHeight="1">
      <c r="A40" s="74"/>
      <c r="B40" s="109" t="s">
        <v>64</v>
      </c>
      <c r="C40" s="110"/>
      <c r="D40" s="111"/>
      <c r="E40" s="112">
        <v>1.0</v>
      </c>
      <c r="F40" s="118" t="s">
        <v>27</v>
      </c>
      <c r="G40" s="113">
        <v>1.0</v>
      </c>
      <c r="H40" s="113"/>
      <c r="I40" s="113"/>
      <c r="J40" s="113"/>
      <c r="K40" s="69">
        <f t="shared" si="20"/>
        <v>0</v>
      </c>
      <c r="L40" s="70">
        <v>0.09</v>
      </c>
      <c r="M40" s="73">
        <f t="shared" si="21"/>
        <v>0</v>
      </c>
      <c r="N40" s="80"/>
      <c r="O40" s="53"/>
      <c r="P40" s="112">
        <v>1.0</v>
      </c>
      <c r="Q40" s="118" t="s">
        <v>27</v>
      </c>
      <c r="R40" s="113">
        <v>1.0</v>
      </c>
      <c r="S40" s="113"/>
      <c r="T40" s="113"/>
      <c r="U40" s="113"/>
      <c r="V40" s="69">
        <f t="shared" si="22"/>
        <v>0</v>
      </c>
      <c r="W40" s="70">
        <v>0.09</v>
      </c>
      <c r="X40" s="73">
        <f t="shared" si="23"/>
        <v>0</v>
      </c>
      <c r="Y40" s="69">
        <v>0.0</v>
      </c>
      <c r="Z40" s="70">
        <v>0.09</v>
      </c>
      <c r="AA40" s="73">
        <f t="shared" si="24"/>
        <v>0</v>
      </c>
    </row>
    <row r="41" ht="15.75" customHeight="1">
      <c r="A41" s="74"/>
      <c r="B41" s="109" t="s">
        <v>65</v>
      </c>
      <c r="C41" s="110"/>
      <c r="D41" s="111"/>
      <c r="E41" s="112">
        <v>1.0</v>
      </c>
      <c r="F41" s="118" t="s">
        <v>27</v>
      </c>
      <c r="G41" s="113">
        <v>1.0</v>
      </c>
      <c r="H41" s="113"/>
      <c r="I41" s="113"/>
      <c r="J41" s="113"/>
      <c r="K41" s="69">
        <f t="shared" si="20"/>
        <v>0</v>
      </c>
      <c r="L41" s="70">
        <v>0.09</v>
      </c>
      <c r="M41" s="73">
        <f t="shared" si="21"/>
        <v>0</v>
      </c>
      <c r="N41" s="80"/>
      <c r="O41" s="53"/>
      <c r="P41" s="112">
        <v>1.0</v>
      </c>
      <c r="Q41" s="118" t="s">
        <v>27</v>
      </c>
      <c r="R41" s="113">
        <v>1.0</v>
      </c>
      <c r="S41" s="113"/>
      <c r="T41" s="113"/>
      <c r="U41" s="113"/>
      <c r="V41" s="69">
        <f t="shared" si="22"/>
        <v>0</v>
      </c>
      <c r="W41" s="70">
        <v>0.09</v>
      </c>
      <c r="X41" s="73">
        <f t="shared" si="23"/>
        <v>0</v>
      </c>
      <c r="Y41" s="69">
        <v>0.0</v>
      </c>
      <c r="Z41" s="70">
        <v>0.09</v>
      </c>
      <c r="AA41" s="73">
        <f t="shared" si="24"/>
        <v>0</v>
      </c>
    </row>
    <row r="42" ht="15.75" customHeight="1">
      <c r="A42" s="74"/>
      <c r="B42" s="109" t="s">
        <v>66</v>
      </c>
      <c r="C42" s="110"/>
      <c r="D42" s="111"/>
      <c r="E42" s="112">
        <v>1.0</v>
      </c>
      <c r="F42" s="118" t="s">
        <v>27</v>
      </c>
      <c r="G42" s="113">
        <v>1.0</v>
      </c>
      <c r="H42" s="113"/>
      <c r="I42" s="113"/>
      <c r="J42" s="113"/>
      <c r="K42" s="69">
        <f t="shared" si="20"/>
        <v>0</v>
      </c>
      <c r="L42" s="70">
        <v>0.09</v>
      </c>
      <c r="M42" s="73">
        <f t="shared" si="21"/>
        <v>0</v>
      </c>
      <c r="N42" s="80"/>
      <c r="O42" s="53"/>
      <c r="P42" s="112">
        <v>1.0</v>
      </c>
      <c r="Q42" s="118" t="s">
        <v>27</v>
      </c>
      <c r="R42" s="113">
        <v>1.0</v>
      </c>
      <c r="S42" s="113"/>
      <c r="T42" s="113"/>
      <c r="U42" s="113"/>
      <c r="V42" s="69">
        <f t="shared" si="22"/>
        <v>0</v>
      </c>
      <c r="W42" s="70">
        <v>0.09</v>
      </c>
      <c r="X42" s="73">
        <f t="shared" si="23"/>
        <v>0</v>
      </c>
      <c r="Y42" s="69"/>
      <c r="Z42" s="70">
        <v>0.09</v>
      </c>
      <c r="AA42" s="73">
        <f t="shared" si="24"/>
        <v>0</v>
      </c>
    </row>
    <row r="43" ht="15.75" customHeight="1">
      <c r="A43" s="74"/>
      <c r="B43" s="136" t="s">
        <v>67</v>
      </c>
      <c r="C43" s="137"/>
      <c r="D43" s="138"/>
      <c r="E43" s="129"/>
      <c r="F43" s="106"/>
      <c r="G43" s="107"/>
      <c r="H43" s="107"/>
      <c r="I43" s="107"/>
      <c r="J43" s="107"/>
      <c r="K43" s="107"/>
      <c r="L43" s="107"/>
      <c r="M43" s="108"/>
      <c r="N43" s="130"/>
      <c r="O43" s="53"/>
      <c r="P43" s="106"/>
      <c r="Q43" s="106"/>
      <c r="R43" s="107"/>
      <c r="S43" s="107"/>
      <c r="T43" s="107"/>
      <c r="U43" s="107"/>
      <c r="V43" s="107"/>
      <c r="W43" s="107"/>
      <c r="X43" s="108"/>
      <c r="Y43" s="107"/>
      <c r="Z43" s="107"/>
      <c r="AA43" s="108"/>
    </row>
    <row r="44" ht="15.75" customHeight="1">
      <c r="A44" s="74"/>
      <c r="B44" s="139" t="s">
        <v>68</v>
      </c>
      <c r="C44" s="116"/>
      <c r="D44" s="117"/>
      <c r="E44" s="112">
        <v>1.0</v>
      </c>
      <c r="F44" s="112" t="s">
        <v>54</v>
      </c>
      <c r="G44" s="113">
        <v>1.0</v>
      </c>
      <c r="H44" s="113"/>
      <c r="I44" s="113"/>
      <c r="J44" s="113"/>
      <c r="K44" s="69">
        <f t="shared" ref="K44:K52" si="25">(E44*G44*H44)+(I44*J44*E44*G44)</f>
        <v>0</v>
      </c>
      <c r="L44" s="70">
        <v>0.09</v>
      </c>
      <c r="M44" s="73">
        <f t="shared" ref="M44:M52" si="26">K44/(1-L44)</f>
        <v>0</v>
      </c>
      <c r="N44" s="80"/>
      <c r="O44" s="53"/>
      <c r="P44" s="112">
        <v>1.0</v>
      </c>
      <c r="Q44" s="112" t="s">
        <v>54</v>
      </c>
      <c r="R44" s="113">
        <v>1.0</v>
      </c>
      <c r="S44" s="113"/>
      <c r="T44" s="113"/>
      <c r="U44" s="113"/>
      <c r="V44" s="69">
        <f t="shared" ref="V44:V52" si="27">(P44*R44*S44)+(T44*U44*P44*R44)</f>
        <v>0</v>
      </c>
      <c r="W44" s="70">
        <v>0.09</v>
      </c>
      <c r="X44" s="73">
        <f t="shared" ref="X44:X52" si="28">V44/(1-W44)</f>
        <v>0</v>
      </c>
      <c r="Y44" s="69">
        <v>0.0</v>
      </c>
      <c r="Z44" s="70">
        <v>0.09</v>
      </c>
      <c r="AA44" s="73">
        <f t="shared" ref="AA44:AA52" si="29">Y44/(1-Z44)</f>
        <v>0</v>
      </c>
    </row>
    <row r="45" ht="15.75" customHeight="1">
      <c r="A45" s="74"/>
      <c r="B45" s="139" t="s">
        <v>69</v>
      </c>
      <c r="C45" s="116"/>
      <c r="D45" s="117"/>
      <c r="E45" s="112">
        <v>1.0</v>
      </c>
      <c r="F45" s="112" t="s">
        <v>54</v>
      </c>
      <c r="G45" s="113">
        <v>1.0</v>
      </c>
      <c r="H45" s="113"/>
      <c r="I45" s="113"/>
      <c r="J45" s="113"/>
      <c r="K45" s="69">
        <f t="shared" si="25"/>
        <v>0</v>
      </c>
      <c r="L45" s="70">
        <v>0.09</v>
      </c>
      <c r="M45" s="73">
        <f t="shared" si="26"/>
        <v>0</v>
      </c>
      <c r="N45" s="80"/>
      <c r="O45" s="53"/>
      <c r="P45" s="112">
        <v>1.0</v>
      </c>
      <c r="Q45" s="112" t="s">
        <v>54</v>
      </c>
      <c r="R45" s="113">
        <v>1.0</v>
      </c>
      <c r="S45" s="113"/>
      <c r="T45" s="113"/>
      <c r="U45" s="113"/>
      <c r="V45" s="69">
        <f t="shared" si="27"/>
        <v>0</v>
      </c>
      <c r="W45" s="70">
        <v>0.09</v>
      </c>
      <c r="X45" s="73">
        <f t="shared" si="28"/>
        <v>0</v>
      </c>
      <c r="Y45" s="69">
        <v>0.0</v>
      </c>
      <c r="Z45" s="70">
        <v>0.09</v>
      </c>
      <c r="AA45" s="73">
        <f t="shared" si="29"/>
        <v>0</v>
      </c>
    </row>
    <row r="46" ht="15.75" customHeight="1">
      <c r="A46" s="74"/>
      <c r="B46" s="139" t="s">
        <v>70</v>
      </c>
      <c r="C46" s="116"/>
      <c r="D46" s="117"/>
      <c r="E46" s="112">
        <v>1.0</v>
      </c>
      <c r="F46" s="112" t="s">
        <v>54</v>
      </c>
      <c r="G46" s="113">
        <v>1.0</v>
      </c>
      <c r="H46" s="113"/>
      <c r="I46" s="113"/>
      <c r="J46" s="113"/>
      <c r="K46" s="69">
        <f t="shared" si="25"/>
        <v>0</v>
      </c>
      <c r="L46" s="70">
        <v>0.09</v>
      </c>
      <c r="M46" s="73">
        <f t="shared" si="26"/>
        <v>0</v>
      </c>
      <c r="N46" s="80"/>
      <c r="O46" s="53"/>
      <c r="P46" s="112">
        <v>1.0</v>
      </c>
      <c r="Q46" s="112" t="s">
        <v>54</v>
      </c>
      <c r="R46" s="113">
        <v>1.0</v>
      </c>
      <c r="S46" s="113"/>
      <c r="T46" s="113"/>
      <c r="U46" s="113"/>
      <c r="V46" s="69">
        <f t="shared" si="27"/>
        <v>0</v>
      </c>
      <c r="W46" s="70">
        <v>0.09</v>
      </c>
      <c r="X46" s="73">
        <f t="shared" si="28"/>
        <v>0</v>
      </c>
      <c r="Y46" s="69">
        <v>0.0</v>
      </c>
      <c r="Z46" s="70">
        <v>0.09</v>
      </c>
      <c r="AA46" s="73">
        <f t="shared" si="29"/>
        <v>0</v>
      </c>
    </row>
    <row r="47" ht="15.75" customHeight="1">
      <c r="A47" s="74"/>
      <c r="B47" s="139" t="s">
        <v>33</v>
      </c>
      <c r="C47" s="116"/>
      <c r="D47" s="117"/>
      <c r="E47" s="112">
        <v>1.0</v>
      </c>
      <c r="F47" s="112" t="s">
        <v>54</v>
      </c>
      <c r="G47" s="113">
        <v>1.0</v>
      </c>
      <c r="H47" s="113"/>
      <c r="I47" s="113"/>
      <c r="J47" s="113"/>
      <c r="K47" s="69">
        <f t="shared" si="25"/>
        <v>0</v>
      </c>
      <c r="L47" s="70">
        <v>0.09</v>
      </c>
      <c r="M47" s="73">
        <f t="shared" si="26"/>
        <v>0</v>
      </c>
      <c r="N47" s="80"/>
      <c r="O47" s="53"/>
      <c r="P47" s="112">
        <v>1.0</v>
      </c>
      <c r="Q47" s="112" t="s">
        <v>54</v>
      </c>
      <c r="R47" s="113">
        <v>1.0</v>
      </c>
      <c r="S47" s="113"/>
      <c r="T47" s="113"/>
      <c r="U47" s="113"/>
      <c r="V47" s="69">
        <f t="shared" si="27"/>
        <v>0</v>
      </c>
      <c r="W47" s="70">
        <v>0.09</v>
      </c>
      <c r="X47" s="73">
        <f t="shared" si="28"/>
        <v>0</v>
      </c>
      <c r="Y47" s="69">
        <v>0.0</v>
      </c>
      <c r="Z47" s="70">
        <v>0.09</v>
      </c>
      <c r="AA47" s="73">
        <f t="shared" si="29"/>
        <v>0</v>
      </c>
    </row>
    <row r="48" ht="15.75" customHeight="1">
      <c r="A48" s="74"/>
      <c r="B48" s="139" t="s">
        <v>71</v>
      </c>
      <c r="C48" s="116"/>
      <c r="D48" s="117"/>
      <c r="E48" s="112">
        <v>1.0</v>
      </c>
      <c r="F48" s="112" t="s">
        <v>54</v>
      </c>
      <c r="G48" s="113">
        <v>1.0</v>
      </c>
      <c r="H48" s="113"/>
      <c r="I48" s="113"/>
      <c r="J48" s="113"/>
      <c r="K48" s="69">
        <f t="shared" si="25"/>
        <v>0</v>
      </c>
      <c r="L48" s="70">
        <v>0.09</v>
      </c>
      <c r="M48" s="73">
        <f t="shared" si="26"/>
        <v>0</v>
      </c>
      <c r="N48" s="80"/>
      <c r="O48" s="53"/>
      <c r="P48" s="112">
        <v>1.0</v>
      </c>
      <c r="Q48" s="112" t="s">
        <v>54</v>
      </c>
      <c r="R48" s="113">
        <v>1.0</v>
      </c>
      <c r="S48" s="113"/>
      <c r="T48" s="113"/>
      <c r="U48" s="113"/>
      <c r="V48" s="69">
        <f t="shared" si="27"/>
        <v>0</v>
      </c>
      <c r="W48" s="70">
        <v>0.09</v>
      </c>
      <c r="X48" s="73">
        <f t="shared" si="28"/>
        <v>0</v>
      </c>
      <c r="Y48" s="69">
        <v>0.0</v>
      </c>
      <c r="Z48" s="70">
        <v>0.09</v>
      </c>
      <c r="AA48" s="73">
        <f t="shared" si="29"/>
        <v>0</v>
      </c>
    </row>
    <row r="49" ht="15.75" customHeight="1">
      <c r="A49" s="74"/>
      <c r="B49" s="140" t="s">
        <v>72</v>
      </c>
      <c r="C49" s="135"/>
      <c r="D49" s="39"/>
      <c r="E49" s="112">
        <v>1.0</v>
      </c>
      <c r="F49" s="112" t="s">
        <v>54</v>
      </c>
      <c r="G49" s="114">
        <v>1.0</v>
      </c>
      <c r="H49" s="114"/>
      <c r="I49" s="113"/>
      <c r="J49" s="113"/>
      <c r="K49" s="69">
        <f t="shared" si="25"/>
        <v>0</v>
      </c>
      <c r="L49" s="70">
        <v>0.09</v>
      </c>
      <c r="M49" s="73">
        <f t="shared" si="26"/>
        <v>0</v>
      </c>
      <c r="N49" s="80"/>
      <c r="O49" s="53"/>
      <c r="P49" s="112">
        <v>1.0</v>
      </c>
      <c r="Q49" s="112" t="s">
        <v>54</v>
      </c>
      <c r="R49" s="114">
        <v>1.0</v>
      </c>
      <c r="S49" s="114"/>
      <c r="T49" s="113"/>
      <c r="U49" s="113"/>
      <c r="V49" s="69">
        <f t="shared" si="27"/>
        <v>0</v>
      </c>
      <c r="W49" s="70">
        <v>0.09</v>
      </c>
      <c r="X49" s="73">
        <f t="shared" si="28"/>
        <v>0</v>
      </c>
      <c r="Y49" s="69">
        <v>0.0</v>
      </c>
      <c r="Z49" s="70">
        <v>0.09</v>
      </c>
      <c r="AA49" s="73">
        <f t="shared" si="29"/>
        <v>0</v>
      </c>
    </row>
    <row r="50" ht="15.75" customHeight="1">
      <c r="A50" s="74"/>
      <c r="B50" s="141" t="s">
        <v>73</v>
      </c>
      <c r="C50" s="110"/>
      <c r="D50" s="111"/>
      <c r="E50" s="112">
        <v>1.0</v>
      </c>
      <c r="F50" s="112" t="s">
        <v>54</v>
      </c>
      <c r="G50" s="114">
        <v>1.0</v>
      </c>
      <c r="H50" s="113"/>
      <c r="I50" s="113"/>
      <c r="J50" s="113"/>
      <c r="K50" s="69">
        <f t="shared" si="25"/>
        <v>0</v>
      </c>
      <c r="L50" s="70">
        <v>0.09</v>
      </c>
      <c r="M50" s="73">
        <f t="shared" si="26"/>
        <v>0</v>
      </c>
      <c r="N50" s="80"/>
      <c r="O50" s="53"/>
      <c r="P50" s="112">
        <v>1.0</v>
      </c>
      <c r="Q50" s="112" t="s">
        <v>54</v>
      </c>
      <c r="R50" s="114">
        <v>1.0</v>
      </c>
      <c r="S50" s="113"/>
      <c r="T50" s="113"/>
      <c r="U50" s="113"/>
      <c r="V50" s="69">
        <f t="shared" si="27"/>
        <v>0</v>
      </c>
      <c r="W50" s="70">
        <v>0.09</v>
      </c>
      <c r="X50" s="73">
        <f t="shared" si="28"/>
        <v>0</v>
      </c>
      <c r="Y50" s="69">
        <v>0.0</v>
      </c>
      <c r="Z50" s="70">
        <v>0.09</v>
      </c>
      <c r="AA50" s="73">
        <f t="shared" si="29"/>
        <v>0</v>
      </c>
    </row>
    <row r="51" ht="15.75" customHeight="1">
      <c r="A51" s="74"/>
      <c r="B51" s="141" t="s">
        <v>65</v>
      </c>
      <c r="C51" s="110"/>
      <c r="D51" s="111"/>
      <c r="E51" s="112">
        <v>1.0</v>
      </c>
      <c r="F51" s="112" t="s">
        <v>54</v>
      </c>
      <c r="G51" s="113">
        <v>1.0</v>
      </c>
      <c r="H51" s="113"/>
      <c r="I51" s="113"/>
      <c r="J51" s="113"/>
      <c r="K51" s="69">
        <f t="shared" si="25"/>
        <v>0</v>
      </c>
      <c r="L51" s="70">
        <v>0.09</v>
      </c>
      <c r="M51" s="73">
        <f t="shared" si="26"/>
        <v>0</v>
      </c>
      <c r="N51" s="80"/>
      <c r="O51" s="53"/>
      <c r="P51" s="112">
        <v>1.0</v>
      </c>
      <c r="Q51" s="112" t="s">
        <v>54</v>
      </c>
      <c r="R51" s="113">
        <v>1.0</v>
      </c>
      <c r="S51" s="113"/>
      <c r="T51" s="113"/>
      <c r="U51" s="113"/>
      <c r="V51" s="69">
        <f t="shared" si="27"/>
        <v>0</v>
      </c>
      <c r="W51" s="70">
        <v>0.09</v>
      </c>
      <c r="X51" s="73">
        <f t="shared" si="28"/>
        <v>0</v>
      </c>
      <c r="Y51" s="69">
        <v>0.0</v>
      </c>
      <c r="Z51" s="70">
        <v>0.09</v>
      </c>
      <c r="AA51" s="73">
        <f t="shared" si="29"/>
        <v>0</v>
      </c>
    </row>
    <row r="52" ht="15.75" customHeight="1">
      <c r="A52" s="74"/>
      <c r="B52" s="141" t="s">
        <v>74</v>
      </c>
      <c r="C52" s="110"/>
      <c r="D52" s="111"/>
      <c r="E52" s="112">
        <v>1.0</v>
      </c>
      <c r="F52" s="112" t="s">
        <v>54</v>
      </c>
      <c r="G52" s="113">
        <v>1.0</v>
      </c>
      <c r="H52" s="113"/>
      <c r="I52" s="113"/>
      <c r="J52" s="113"/>
      <c r="K52" s="69">
        <f t="shared" si="25"/>
        <v>0</v>
      </c>
      <c r="L52" s="70">
        <v>0.09</v>
      </c>
      <c r="M52" s="73">
        <f t="shared" si="26"/>
        <v>0</v>
      </c>
      <c r="N52" s="80"/>
      <c r="O52" s="53"/>
      <c r="P52" s="112">
        <v>1.0</v>
      </c>
      <c r="Q52" s="112" t="s">
        <v>54</v>
      </c>
      <c r="R52" s="113">
        <v>1.0</v>
      </c>
      <c r="S52" s="113"/>
      <c r="T52" s="113"/>
      <c r="U52" s="113"/>
      <c r="V52" s="69">
        <f t="shared" si="27"/>
        <v>0</v>
      </c>
      <c r="W52" s="70">
        <v>0.09</v>
      </c>
      <c r="X52" s="73">
        <f t="shared" si="28"/>
        <v>0</v>
      </c>
      <c r="Y52" s="69">
        <v>0.0</v>
      </c>
      <c r="Z52" s="70">
        <v>0.09</v>
      </c>
      <c r="AA52" s="73">
        <f t="shared" si="29"/>
        <v>0</v>
      </c>
    </row>
    <row r="53" ht="15.75" customHeight="1">
      <c r="A53" s="97"/>
      <c r="B53" s="142" t="s">
        <v>75</v>
      </c>
      <c r="C53" s="143"/>
      <c r="D53" s="144"/>
      <c r="E53" s="129"/>
      <c r="F53" s="106"/>
      <c r="G53" s="107"/>
      <c r="H53" s="107"/>
      <c r="I53" s="107"/>
      <c r="J53" s="107"/>
      <c r="K53" s="107"/>
      <c r="L53" s="107"/>
      <c r="M53" s="108"/>
      <c r="N53" s="130"/>
      <c r="O53" s="53"/>
      <c r="P53" s="106"/>
      <c r="Q53" s="106"/>
      <c r="R53" s="107"/>
      <c r="S53" s="107"/>
      <c r="T53" s="107"/>
      <c r="U53" s="107"/>
      <c r="V53" s="107"/>
      <c r="W53" s="107"/>
      <c r="X53" s="108"/>
      <c r="Y53" s="107"/>
      <c r="Z53" s="107"/>
      <c r="AA53" s="108"/>
    </row>
    <row r="54" ht="15.75" customHeight="1">
      <c r="A54" s="81"/>
      <c r="B54" s="109" t="s">
        <v>76</v>
      </c>
      <c r="C54" s="110"/>
      <c r="D54" s="111"/>
      <c r="E54" s="112">
        <v>1.0</v>
      </c>
      <c r="F54" s="112" t="s">
        <v>54</v>
      </c>
      <c r="G54" s="113">
        <v>1.0</v>
      </c>
      <c r="H54" s="113"/>
      <c r="I54" s="113"/>
      <c r="J54" s="113"/>
      <c r="K54" s="69">
        <f t="shared" ref="K54:K58" si="30">(E54*G54*H54)+(I54*J54*E54*G54)</f>
        <v>0</v>
      </c>
      <c r="L54" s="70">
        <v>0.09</v>
      </c>
      <c r="M54" s="73">
        <f t="shared" ref="M54:M58" si="31">K54/(1-L54)</f>
        <v>0</v>
      </c>
      <c r="N54" s="80"/>
      <c r="O54" s="53"/>
      <c r="P54" s="112">
        <v>1.0</v>
      </c>
      <c r="Q54" s="112" t="s">
        <v>54</v>
      </c>
      <c r="R54" s="114">
        <v>1.0</v>
      </c>
      <c r="S54" s="113"/>
      <c r="T54" s="113"/>
      <c r="U54" s="113"/>
      <c r="V54" s="69">
        <f t="shared" ref="V54:V58" si="32">(P54*R54*S54)+(T54*U54*P54*R54)</f>
        <v>0</v>
      </c>
      <c r="W54" s="70">
        <v>0.09</v>
      </c>
      <c r="X54" s="73">
        <f t="shared" ref="X54:X58" si="33">V54/(1-W54)</f>
        <v>0</v>
      </c>
      <c r="Y54" s="69">
        <v>0.0</v>
      </c>
      <c r="Z54" s="70">
        <v>0.09</v>
      </c>
      <c r="AA54" s="73">
        <f t="shared" ref="AA54:AA58" si="34">Y54/(1-Z54)</f>
        <v>0</v>
      </c>
    </row>
    <row r="55" ht="15.75" customHeight="1">
      <c r="A55" s="81"/>
      <c r="B55" s="115" t="s">
        <v>77</v>
      </c>
      <c r="C55" s="116"/>
      <c r="D55" s="117"/>
      <c r="E55" s="118">
        <v>1.0</v>
      </c>
      <c r="F55" s="118" t="s">
        <v>27</v>
      </c>
      <c r="G55" s="69">
        <v>1.0</v>
      </c>
      <c r="H55" s="69"/>
      <c r="I55" s="69"/>
      <c r="J55" s="69"/>
      <c r="K55" s="69">
        <f t="shared" si="30"/>
        <v>0</v>
      </c>
      <c r="L55" s="70">
        <v>0.09</v>
      </c>
      <c r="M55" s="73">
        <f t="shared" si="31"/>
        <v>0</v>
      </c>
      <c r="N55" s="80"/>
      <c r="O55" s="53"/>
      <c r="P55" s="118">
        <v>1.0</v>
      </c>
      <c r="Q55" s="118" t="s">
        <v>27</v>
      </c>
      <c r="R55" s="69">
        <v>1.0</v>
      </c>
      <c r="S55" s="69"/>
      <c r="T55" s="69"/>
      <c r="U55" s="69"/>
      <c r="V55" s="69">
        <f t="shared" si="32"/>
        <v>0</v>
      </c>
      <c r="W55" s="70">
        <v>0.09</v>
      </c>
      <c r="X55" s="73">
        <f t="shared" si="33"/>
        <v>0</v>
      </c>
      <c r="Y55" s="69">
        <v>0.0</v>
      </c>
      <c r="Z55" s="70">
        <v>0.09</v>
      </c>
      <c r="AA55" s="73">
        <f t="shared" si="34"/>
        <v>0</v>
      </c>
    </row>
    <row r="56" ht="15.75" customHeight="1">
      <c r="A56" s="81"/>
      <c r="B56" s="115" t="s">
        <v>78</v>
      </c>
      <c r="C56" s="116"/>
      <c r="D56" s="117"/>
      <c r="E56" s="118">
        <v>1.0</v>
      </c>
      <c r="F56" s="118" t="s">
        <v>27</v>
      </c>
      <c r="G56" s="69">
        <v>1.0</v>
      </c>
      <c r="H56" s="69"/>
      <c r="I56" s="69"/>
      <c r="J56" s="69"/>
      <c r="K56" s="69">
        <f t="shared" si="30"/>
        <v>0</v>
      </c>
      <c r="L56" s="70">
        <v>0.09</v>
      </c>
      <c r="M56" s="73">
        <f t="shared" si="31"/>
        <v>0</v>
      </c>
      <c r="N56" s="80"/>
      <c r="O56" s="53"/>
      <c r="P56" s="118">
        <v>1.0</v>
      </c>
      <c r="Q56" s="118" t="s">
        <v>27</v>
      </c>
      <c r="R56" s="69">
        <v>1.0</v>
      </c>
      <c r="S56" s="69"/>
      <c r="T56" s="69"/>
      <c r="U56" s="69"/>
      <c r="V56" s="69">
        <f t="shared" si="32"/>
        <v>0</v>
      </c>
      <c r="W56" s="70">
        <v>0.09</v>
      </c>
      <c r="X56" s="73">
        <f t="shared" si="33"/>
        <v>0</v>
      </c>
      <c r="Y56" s="69">
        <v>0.0</v>
      </c>
      <c r="Z56" s="70">
        <v>0.09</v>
      </c>
      <c r="AA56" s="73">
        <f t="shared" si="34"/>
        <v>0</v>
      </c>
    </row>
    <row r="57" ht="15.75" customHeight="1">
      <c r="A57" s="81"/>
      <c r="B57" s="115" t="s">
        <v>79</v>
      </c>
      <c r="C57" s="116"/>
      <c r="D57" s="117"/>
      <c r="E57" s="118">
        <v>1.0</v>
      </c>
      <c r="F57" s="118" t="s">
        <v>49</v>
      </c>
      <c r="G57" s="69">
        <v>1.0</v>
      </c>
      <c r="H57" s="69"/>
      <c r="I57" s="69"/>
      <c r="J57" s="69"/>
      <c r="K57" s="69">
        <f t="shared" si="30"/>
        <v>0</v>
      </c>
      <c r="L57" s="70">
        <v>0.09</v>
      </c>
      <c r="M57" s="73">
        <f t="shared" si="31"/>
        <v>0</v>
      </c>
      <c r="N57" s="80"/>
      <c r="O57" s="53"/>
      <c r="P57" s="118">
        <v>1.0</v>
      </c>
      <c r="Q57" s="118" t="s">
        <v>49</v>
      </c>
      <c r="R57" s="69">
        <v>1.0</v>
      </c>
      <c r="S57" s="69"/>
      <c r="T57" s="69"/>
      <c r="U57" s="69"/>
      <c r="V57" s="69">
        <f t="shared" si="32"/>
        <v>0</v>
      </c>
      <c r="W57" s="70">
        <v>0.09</v>
      </c>
      <c r="X57" s="73">
        <f t="shared" si="33"/>
        <v>0</v>
      </c>
      <c r="Y57" s="69">
        <v>0.0</v>
      </c>
      <c r="Z57" s="70">
        <v>0.09</v>
      </c>
      <c r="AA57" s="73">
        <f t="shared" si="34"/>
        <v>0</v>
      </c>
    </row>
    <row r="58" ht="15.75" customHeight="1">
      <c r="A58" s="81"/>
      <c r="B58" s="62" t="s">
        <v>80</v>
      </c>
      <c r="C58" s="63"/>
      <c r="D58" s="64"/>
      <c r="E58" s="118">
        <v>1.0</v>
      </c>
      <c r="F58" s="118" t="s">
        <v>81</v>
      </c>
      <c r="G58" s="69">
        <v>1.0</v>
      </c>
      <c r="H58" s="69"/>
      <c r="I58" s="145"/>
      <c r="J58" s="145"/>
      <c r="K58" s="69">
        <f t="shared" si="30"/>
        <v>0</v>
      </c>
      <c r="L58" s="70">
        <v>0.09</v>
      </c>
      <c r="M58" s="73">
        <f t="shared" si="31"/>
        <v>0</v>
      </c>
      <c r="N58" s="80"/>
      <c r="O58" s="53"/>
      <c r="P58" s="118">
        <v>1.0</v>
      </c>
      <c r="Q58" s="118" t="s">
        <v>81</v>
      </c>
      <c r="R58" s="119">
        <v>1.0</v>
      </c>
      <c r="S58" s="69"/>
      <c r="T58" s="145"/>
      <c r="U58" s="145"/>
      <c r="V58" s="69">
        <f t="shared" si="32"/>
        <v>0</v>
      </c>
      <c r="W58" s="70">
        <v>0.09</v>
      </c>
      <c r="X58" s="73">
        <f t="shared" si="33"/>
        <v>0</v>
      </c>
      <c r="Y58" s="69">
        <v>0.0</v>
      </c>
      <c r="Z58" s="70">
        <v>0.09</v>
      </c>
      <c r="AA58" s="73">
        <f t="shared" si="34"/>
        <v>0</v>
      </c>
    </row>
    <row r="59" ht="15.75" customHeight="1">
      <c r="A59" s="146"/>
      <c r="B59" s="146"/>
      <c r="C59" s="146"/>
      <c r="D59" s="146"/>
      <c r="E59" s="84"/>
      <c r="F59" s="91"/>
      <c r="G59" s="86"/>
      <c r="H59" s="86"/>
      <c r="I59" s="87"/>
      <c r="J59" s="87"/>
      <c r="K59" s="87"/>
      <c r="L59" s="88" t="s">
        <v>82</v>
      </c>
      <c r="M59" s="89">
        <f>SUM(M24:M58)</f>
        <v>0</v>
      </c>
      <c r="N59" s="90"/>
      <c r="O59" s="53"/>
      <c r="P59" s="91"/>
      <c r="Q59" s="91"/>
      <c r="R59" s="86"/>
      <c r="S59" s="86"/>
      <c r="T59" s="87"/>
      <c r="U59" s="87"/>
      <c r="V59" s="87"/>
      <c r="W59" s="88" t="s">
        <v>82</v>
      </c>
      <c r="X59" s="89">
        <f>SUM(X24:X58)</f>
        <v>0</v>
      </c>
      <c r="Y59" s="87"/>
      <c r="Z59" s="88" t="s">
        <v>82</v>
      </c>
      <c r="AA59" s="89">
        <f>SUM(AA24:AA58)</f>
        <v>0</v>
      </c>
    </row>
    <row r="60" ht="18.75" customHeight="1">
      <c r="A60" s="146"/>
      <c r="B60" s="146"/>
      <c r="C60" s="146"/>
      <c r="D60" s="146"/>
      <c r="E60" s="81"/>
      <c r="F60" s="81"/>
      <c r="G60" s="81"/>
      <c r="H60" s="81"/>
      <c r="I60" s="81"/>
      <c r="J60" s="81"/>
      <c r="K60" s="81"/>
      <c r="L60" s="147"/>
      <c r="M60" s="148"/>
      <c r="N60" s="80"/>
      <c r="O60" s="53"/>
      <c r="P60" s="149"/>
      <c r="Q60" s="149"/>
      <c r="R60" s="147"/>
      <c r="S60" s="147"/>
      <c r="T60" s="147"/>
      <c r="U60" s="147"/>
      <c r="V60" s="147"/>
      <c r="W60" s="147"/>
      <c r="X60" s="150"/>
      <c r="Y60" s="72"/>
      <c r="Z60" s="72"/>
      <c r="AA60" s="72"/>
    </row>
    <row r="61" ht="15.75" customHeight="1">
      <c r="A61" s="146"/>
      <c r="B61" s="146"/>
      <c r="C61" s="146"/>
      <c r="D61" s="146"/>
      <c r="E61" s="151"/>
      <c r="F61" s="151"/>
      <c r="G61" s="151"/>
      <c r="H61" s="151"/>
      <c r="I61" s="152"/>
      <c r="J61" s="153"/>
      <c r="K61" s="153"/>
      <c r="L61" s="153" t="s">
        <v>83</v>
      </c>
      <c r="M61" s="154">
        <f>M18+M21+M22</f>
        <v>0</v>
      </c>
      <c r="N61" s="80"/>
      <c r="O61" s="53"/>
      <c r="P61" s="155"/>
      <c r="Q61" s="151"/>
      <c r="R61" s="151"/>
      <c r="S61" s="151"/>
      <c r="T61" s="151"/>
      <c r="U61" s="151"/>
      <c r="V61" s="152"/>
      <c r="W61" s="153" t="s">
        <v>84</v>
      </c>
      <c r="X61" s="154">
        <f>X18+X21+X22</f>
        <v>0</v>
      </c>
      <c r="Y61" s="152"/>
      <c r="Z61" s="153" t="s">
        <v>84</v>
      </c>
      <c r="AA61" s="154">
        <f>AA18+AA21+AA22</f>
        <v>0</v>
      </c>
    </row>
    <row r="62" ht="15.75" customHeight="1">
      <c r="A62" s="146"/>
      <c r="B62" s="146"/>
      <c r="C62" s="146"/>
      <c r="D62" s="146"/>
      <c r="E62" s="151"/>
      <c r="F62" s="151"/>
      <c r="G62" s="151"/>
      <c r="H62" s="151"/>
      <c r="I62" s="152"/>
      <c r="J62" s="153"/>
      <c r="K62" s="153"/>
      <c r="L62" s="153" t="s">
        <v>85</v>
      </c>
      <c r="M62" s="156">
        <f>M59</f>
        <v>0</v>
      </c>
      <c r="N62" s="80"/>
      <c r="O62" s="53"/>
      <c r="P62" s="155"/>
      <c r="Q62" s="151"/>
      <c r="R62" s="151"/>
      <c r="S62" s="151"/>
      <c r="T62" s="151"/>
      <c r="U62" s="151"/>
      <c r="V62" s="152"/>
      <c r="W62" s="157" t="s">
        <v>85</v>
      </c>
      <c r="X62" s="156">
        <f>X59</f>
        <v>0</v>
      </c>
      <c r="Y62" s="152"/>
      <c r="Z62" s="157" t="s">
        <v>85</v>
      </c>
      <c r="AA62" s="156">
        <f>AA59</f>
        <v>0</v>
      </c>
    </row>
    <row r="63" ht="15.75" customHeight="1">
      <c r="A63" s="146"/>
      <c r="B63" s="146"/>
      <c r="C63" s="146"/>
      <c r="D63" s="146"/>
      <c r="E63" s="158"/>
      <c r="F63" s="158"/>
      <c r="G63" s="158"/>
      <c r="H63" s="158"/>
      <c r="I63" s="157"/>
      <c r="J63" s="157"/>
      <c r="K63" s="157" t="s">
        <v>86</v>
      </c>
      <c r="L63" s="159">
        <v>0.0</v>
      </c>
      <c r="M63" s="160">
        <f>(M61+M62)*L63</f>
        <v>0</v>
      </c>
      <c r="N63" s="80"/>
      <c r="O63" s="53"/>
      <c r="P63" s="161"/>
      <c r="Q63" s="158"/>
      <c r="R63" s="158"/>
      <c r="S63" s="158"/>
      <c r="T63" s="158"/>
      <c r="U63" s="158"/>
      <c r="V63" s="157"/>
      <c r="W63" s="157" t="s">
        <v>86</v>
      </c>
      <c r="X63" s="160">
        <f>M63</f>
        <v>0</v>
      </c>
      <c r="Y63" s="157"/>
      <c r="Z63" s="157" t="s">
        <v>86</v>
      </c>
      <c r="AA63" s="160">
        <v>0.0</v>
      </c>
    </row>
    <row r="64" ht="15.75" customHeight="1">
      <c r="A64" s="146"/>
      <c r="B64" s="146"/>
      <c r="C64" s="146"/>
      <c r="D64" s="146"/>
      <c r="E64" s="162"/>
      <c r="F64" s="162"/>
      <c r="G64" s="162"/>
      <c r="H64" s="162"/>
      <c r="I64" s="162"/>
      <c r="J64" s="163"/>
      <c r="K64" s="163"/>
      <c r="L64" s="163" t="s">
        <v>87</v>
      </c>
      <c r="M64" s="164">
        <f>M61+M62+M63</f>
        <v>0</v>
      </c>
      <c r="N64" s="80"/>
      <c r="O64" s="53"/>
      <c r="P64" s="165"/>
      <c r="Q64" s="162"/>
      <c r="R64" s="162"/>
      <c r="S64" s="162"/>
      <c r="T64" s="162"/>
      <c r="U64" s="162"/>
      <c r="V64" s="162"/>
      <c r="W64" s="163" t="s">
        <v>87</v>
      </c>
      <c r="X64" s="164">
        <f>X61+X62+X63</f>
        <v>0</v>
      </c>
      <c r="Y64" s="163"/>
      <c r="Z64" s="163" t="s">
        <v>88</v>
      </c>
      <c r="AA64" s="164">
        <f>AA61+AA62+AA63</f>
        <v>0</v>
      </c>
    </row>
    <row r="65" ht="15.75" customHeight="1">
      <c r="A65" s="146"/>
      <c r="B65" s="146"/>
      <c r="C65" s="146"/>
      <c r="D65" s="146"/>
      <c r="E65" s="166"/>
      <c r="F65" s="166"/>
      <c r="G65" s="166"/>
      <c r="H65" s="166"/>
      <c r="I65" s="167"/>
      <c r="J65" s="167"/>
      <c r="K65" s="167" t="s">
        <v>89</v>
      </c>
      <c r="L65" s="168">
        <v>0.1</v>
      </c>
      <c r="M65" s="154">
        <f>M64*L65</f>
        <v>0</v>
      </c>
      <c r="N65" s="80"/>
      <c r="O65" s="53"/>
      <c r="P65" s="169"/>
      <c r="Q65" s="166"/>
      <c r="R65" s="166"/>
      <c r="S65" s="166"/>
      <c r="T65" s="166"/>
      <c r="U65" s="166"/>
      <c r="V65" s="153"/>
      <c r="W65" s="153"/>
      <c r="X65" s="153"/>
      <c r="Y65" s="170"/>
      <c r="Z65" s="153"/>
      <c r="AA65" s="153"/>
    </row>
    <row r="66" ht="15.75" customHeight="1">
      <c r="A66" s="146"/>
      <c r="B66" s="146"/>
      <c r="C66" s="146"/>
      <c r="D66" s="146"/>
      <c r="E66" s="158"/>
      <c r="F66" s="158"/>
      <c r="G66" s="158"/>
      <c r="H66" s="158"/>
      <c r="I66" s="157"/>
      <c r="J66" s="157"/>
      <c r="K66" s="157" t="s">
        <v>90</v>
      </c>
      <c r="L66" s="160">
        <v>0.0</v>
      </c>
      <c r="M66" s="160">
        <f>M64*L66*4.5%</f>
        <v>0</v>
      </c>
      <c r="N66" s="80"/>
      <c r="O66" s="53"/>
      <c r="P66" s="161"/>
      <c r="Q66" s="158"/>
      <c r="R66" s="158"/>
      <c r="S66" s="158"/>
      <c r="T66" s="158"/>
      <c r="U66" s="158"/>
      <c r="V66" s="157" t="s">
        <v>91</v>
      </c>
      <c r="W66" s="160">
        <f>L66</f>
        <v>0</v>
      </c>
      <c r="X66" s="160">
        <f>X64*W66*4.5%/2</f>
        <v>0</v>
      </c>
      <c r="Y66" s="157"/>
      <c r="Z66" s="157" t="s">
        <v>91</v>
      </c>
      <c r="AA66" s="160">
        <f>X66</f>
        <v>0</v>
      </c>
    </row>
    <row r="67" ht="15.75" customHeight="1">
      <c r="A67" s="146"/>
      <c r="B67" s="146"/>
      <c r="C67" s="146"/>
      <c r="D67" s="146"/>
      <c r="E67" s="162"/>
      <c r="F67" s="162"/>
      <c r="G67" s="162"/>
      <c r="H67" s="162"/>
      <c r="I67" s="162"/>
      <c r="J67" s="163"/>
      <c r="K67" s="163"/>
      <c r="L67" s="163" t="s">
        <v>92</v>
      </c>
      <c r="M67" s="164">
        <f>SUM(M64+M65+M66)</f>
        <v>0</v>
      </c>
      <c r="N67" s="80"/>
      <c r="O67" s="53"/>
      <c r="P67" s="165"/>
      <c r="Q67" s="162"/>
      <c r="R67" s="162"/>
      <c r="S67" s="162"/>
      <c r="T67" s="162"/>
      <c r="U67" s="162"/>
      <c r="V67" s="162"/>
      <c r="W67" s="163" t="s">
        <v>93</v>
      </c>
      <c r="X67" s="164">
        <f>SUM(X64+X66)</f>
        <v>0</v>
      </c>
      <c r="Y67" s="171"/>
      <c r="Z67" s="171" t="s">
        <v>93</v>
      </c>
      <c r="AA67" s="164">
        <f>SUM(AA64+AA66)</f>
        <v>0</v>
      </c>
    </row>
    <row r="68" ht="15.75" customHeight="1">
      <c r="A68" s="146"/>
      <c r="B68" s="146"/>
      <c r="C68" s="146"/>
      <c r="D68" s="146"/>
      <c r="E68" s="172"/>
      <c r="F68" s="172"/>
      <c r="G68" s="172"/>
      <c r="H68" s="172"/>
      <c r="I68" s="173"/>
      <c r="J68" s="153"/>
      <c r="K68" s="153"/>
      <c r="L68" s="153" t="s">
        <v>94</v>
      </c>
      <c r="M68" s="73">
        <f>M67*0.22</f>
        <v>0</v>
      </c>
      <c r="N68" s="80"/>
      <c r="O68" s="53"/>
      <c r="P68" s="174"/>
      <c r="Q68" s="172"/>
      <c r="R68" s="172"/>
      <c r="S68" s="172"/>
      <c r="T68" s="172"/>
      <c r="U68" s="172"/>
      <c r="V68" s="173"/>
      <c r="W68" s="153"/>
      <c r="X68" s="153"/>
      <c r="Y68" s="173"/>
      <c r="Z68" s="153"/>
      <c r="AA68" s="153"/>
    </row>
    <row r="69" ht="15.75" customHeight="1">
      <c r="A69" s="146"/>
      <c r="B69" s="146"/>
      <c r="C69" s="146"/>
      <c r="D69" s="146"/>
      <c r="E69" s="162"/>
      <c r="F69" s="162"/>
      <c r="G69" s="162"/>
      <c r="H69" s="162"/>
      <c r="I69" s="162"/>
      <c r="J69" s="171"/>
      <c r="K69" s="171"/>
      <c r="L69" s="163" t="s">
        <v>95</v>
      </c>
      <c r="M69" s="175">
        <f>M67+M68</f>
        <v>0</v>
      </c>
      <c r="N69" s="80"/>
      <c r="O69" s="53"/>
      <c r="P69" s="176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ht="15.75" customHeight="1">
      <c r="A70" s="146"/>
      <c r="B70" s="146"/>
      <c r="C70" s="146"/>
      <c r="D70" s="146"/>
      <c r="E70" s="76"/>
      <c r="F70" s="146"/>
      <c r="G70" s="146"/>
      <c r="H70" s="146"/>
      <c r="I70" s="146"/>
      <c r="J70" s="146"/>
      <c r="K70" s="146"/>
      <c r="L70" s="146"/>
      <c r="M70" s="146"/>
      <c r="N70" s="80"/>
      <c r="O70" s="53"/>
      <c r="P70" s="149"/>
      <c r="Q70" s="149"/>
      <c r="R70" s="147"/>
      <c r="S70" s="147"/>
      <c r="T70" s="147"/>
      <c r="U70" s="147"/>
      <c r="V70" s="147"/>
      <c r="W70" s="147"/>
      <c r="X70" s="150"/>
      <c r="Y70" s="147"/>
      <c r="Z70" s="147"/>
      <c r="AA70" s="150"/>
    </row>
    <row r="71" ht="15.75" customHeight="1">
      <c r="A71" s="146"/>
      <c r="B71" s="62" t="s">
        <v>96</v>
      </c>
      <c r="C71" s="63"/>
      <c r="D71" s="64"/>
      <c r="E71" s="177" t="s">
        <v>97</v>
      </c>
      <c r="N71" s="178"/>
      <c r="O71" s="53"/>
      <c r="P71" s="179" t="s">
        <v>98</v>
      </c>
      <c r="X71" s="180">
        <f>M67-X67</f>
        <v>0</v>
      </c>
      <c r="Y71" s="181" t="s">
        <v>99</v>
      </c>
      <c r="AA71" s="182">
        <f>M67-AA67</f>
        <v>0</v>
      </c>
    </row>
    <row r="72" ht="15.75" customHeight="1">
      <c r="A72" s="146"/>
      <c r="B72" s="146"/>
      <c r="C72" s="146"/>
      <c r="D72" s="146"/>
      <c r="N72" s="178"/>
      <c r="O72" s="53"/>
      <c r="X72" s="183" t="str">
        <f>X71/M67</f>
        <v>#DIV/0!</v>
      </c>
      <c r="AA72" s="184" t="str">
        <f>AA71/M67</f>
        <v>#DIV/0!</v>
      </c>
    </row>
    <row r="73" ht="15.75" customHeight="1">
      <c r="A73" s="146"/>
      <c r="B73" s="146"/>
      <c r="C73" s="146"/>
      <c r="D73" s="146"/>
      <c r="N73" s="178"/>
      <c r="O73" s="53"/>
      <c r="X73" s="185"/>
      <c r="AA73" s="186"/>
    </row>
    <row r="74" ht="13.5" customHeight="1">
      <c r="A74" s="146"/>
      <c r="B74" s="146"/>
      <c r="C74" s="146"/>
      <c r="D74" s="146"/>
      <c r="N74" s="178"/>
      <c r="O74" s="187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</row>
    <row r="75" ht="15.75" customHeight="1">
      <c r="A75" s="146"/>
      <c r="B75" s="146"/>
      <c r="C75" s="146"/>
      <c r="D75" s="146"/>
      <c r="N75" s="178"/>
      <c r="O75" s="189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</row>
    <row r="76" ht="15.75" customHeight="1">
      <c r="A76" s="146"/>
      <c r="B76" s="146"/>
      <c r="C76" s="146"/>
      <c r="D76" s="146"/>
      <c r="N76" s="178"/>
      <c r="O76" s="189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</row>
    <row r="77" ht="15.75" customHeight="1">
      <c r="A77" s="146"/>
      <c r="B77" s="146"/>
      <c r="C77" s="146"/>
      <c r="D77" s="146"/>
      <c r="N77" s="178"/>
      <c r="O77" s="189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</row>
    <row r="78" ht="15.75" customHeight="1">
      <c r="A78" s="146"/>
      <c r="B78" s="146"/>
      <c r="C78" s="146"/>
      <c r="D78" s="146"/>
      <c r="E78" s="188"/>
      <c r="F78" s="188"/>
      <c r="G78" s="188"/>
      <c r="H78" s="188"/>
      <c r="I78" s="188"/>
      <c r="J78" s="188"/>
      <c r="K78" s="188"/>
      <c r="L78" s="188"/>
      <c r="M78" s="188"/>
      <c r="N78" s="190"/>
      <c r="O78" s="189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</row>
    <row r="79" ht="15.75" customHeight="1">
      <c r="A79" s="146"/>
      <c r="B79" s="146"/>
      <c r="C79" s="146"/>
      <c r="D79" s="146"/>
      <c r="E79" s="188"/>
      <c r="F79" s="188"/>
      <c r="G79" s="188"/>
      <c r="H79" s="188"/>
      <c r="I79" s="188"/>
      <c r="J79" s="188"/>
      <c r="K79" s="188"/>
      <c r="L79" s="188"/>
      <c r="M79" s="188"/>
      <c r="N79" s="190"/>
      <c r="O79" s="189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</row>
    <row r="80" ht="15.75" customHeight="1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9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</row>
    <row r="81" ht="15.75" customHeight="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</row>
    <row r="82" ht="15.75" customHeight="1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</row>
    <row r="83" ht="15.7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</row>
    <row r="84" ht="15.75" customHeight="1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</row>
    <row r="85" ht="15.75" customHeight="1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</row>
    <row r="86" ht="15.75" customHeight="1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</row>
    <row r="87" ht="15.75" customHeight="1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</row>
    <row r="88" ht="15.75" customHeight="1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</row>
    <row r="89" ht="15.75" customHeight="1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</row>
    <row r="90" ht="15.75" customHeight="1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</row>
    <row r="91" ht="15.75" customHeight="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</row>
    <row r="92" ht="15.75" customHeight="1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</row>
    <row r="93" ht="15.7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</row>
    <row r="94" ht="15.75" customHeight="1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</row>
    <row r="95" ht="15.75" customHeight="1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</row>
    <row r="96" ht="15.75" customHeight="1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</row>
    <row r="97" ht="15.75" customHeight="1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</row>
    <row r="98" ht="15.75" customHeight="1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</row>
    <row r="99" ht="15.75" customHeight="1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</row>
    <row r="100" ht="15.75" customHeight="1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</row>
    <row r="101" ht="15.75" customHeight="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</row>
    <row r="102" ht="15.7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</row>
    <row r="103" ht="15.75" customHeight="1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</row>
    <row r="104" ht="15.75" customHeight="1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</row>
    <row r="105" ht="15.75" customHeight="1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</row>
    <row r="106" ht="15.75" customHeight="1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 ht="15.75" customHeight="1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 ht="15.75" customHeight="1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 ht="15.75" customHeight="1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 ht="15.75" customHeight="1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 ht="15.75" customHeight="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 ht="15.75" customHeight="1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 ht="15.75" customHeight="1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 ht="15.75" customHeight="1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 ht="15.7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 ht="15.75" customHeight="1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 ht="15.75" customHeight="1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 ht="15.75" customHeight="1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 ht="15.75" customHeight="1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 ht="15.75" customHeight="1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 ht="15.7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ht="15.7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ht="15.75" customHeight="1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ht="15.75" customHeight="1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ht="15.75" customHeight="1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ht="15.75" customHeight="1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ht="15.75" customHeight="1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ht="15.75" customHeight="1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ht="15.7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ht="15.7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ht="15.7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ht="15.7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ht="15.7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ht="15.7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ht="15.7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ht="15.7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ht="15.7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ht="15.7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ht="15.7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ht="15.7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ht="15.7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ht="15.7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ht="15.7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ht="15.7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ht="15.7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ht="15.7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ht="15.7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ht="15.7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ht="15.7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ht="15.7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ht="15.7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ht="15.7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ht="15.7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ht="15.7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ht="15.7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ht="15.7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ht="15.7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ht="15.7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ht="15.7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ht="15.7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ht="15.7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ht="15.7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ht="15.7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ht="15.7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ht="15.7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ht="15.7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ht="15.7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ht="15.7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ht="15.7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ht="15.7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ht="15.7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ht="15.7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ht="15.7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ht="15.7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ht="15.7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ht="15.7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5.75" customHeight="1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</row>
    <row r="178" ht="15.75" customHeight="1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</row>
    <row r="179" ht="15.75" customHeight="1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</row>
    <row r="180" ht="15.75" customHeight="1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</row>
    <row r="181" ht="15.75" customHeight="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</row>
    <row r="182" ht="15.75" customHeight="1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</row>
    <row r="183" ht="15.75" customHeight="1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</row>
    <row r="184" ht="15.75" customHeight="1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</row>
    <row r="185" ht="15.75" customHeight="1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</row>
    <row r="186" ht="15.75" customHeight="1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</row>
    <row r="187" ht="15.75" customHeight="1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</row>
    <row r="188" ht="15.75" customHeight="1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</row>
    <row r="189" ht="15.75" customHeight="1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</row>
    <row r="190" ht="15.75" customHeight="1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</row>
    <row r="191" ht="15.75" customHeight="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</row>
    <row r="192" ht="15.75" customHeight="1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</row>
    <row r="193" ht="15.75" customHeight="1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</row>
    <row r="194" ht="15.75" customHeight="1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</row>
    <row r="195" ht="15.75" customHeight="1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</row>
    <row r="196" ht="15.75" customHeight="1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</row>
    <row r="197" ht="15.75" customHeight="1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</row>
    <row r="198" ht="15.75" customHeight="1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</row>
    <row r="199" ht="15.75" customHeight="1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</row>
    <row r="200" ht="15.75" customHeight="1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</row>
    <row r="201" ht="15.75" customHeight="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</row>
    <row r="202" ht="15.75" customHeight="1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</row>
    <row r="203" ht="15.75" customHeight="1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</row>
    <row r="204" ht="15.75" customHeight="1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</row>
    <row r="205" ht="15.75" customHeight="1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</row>
    <row r="206" ht="15.75" customHeight="1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</row>
    <row r="207" ht="15.75" customHeight="1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</row>
    <row r="208" ht="15.75" customHeight="1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</row>
    <row r="209" ht="15.75" customHeight="1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</row>
    <row r="210" ht="15.75" customHeight="1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</row>
    <row r="211" ht="15.75" customHeight="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</row>
    <row r="212" ht="15.75" customHeight="1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</row>
    <row r="213" ht="15.75" customHeight="1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</row>
    <row r="214" ht="15.75" customHeight="1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</row>
    <row r="215" ht="15.75" customHeight="1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</row>
    <row r="216" ht="15.75" customHeight="1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</row>
    <row r="217" ht="15.75" customHeight="1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</row>
    <row r="218" ht="15.75" customHeight="1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</row>
    <row r="219" ht="15.75" customHeight="1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</row>
    <row r="220" ht="15.75" customHeight="1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</row>
    <row r="221" ht="15.75" customHeight="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</row>
    <row r="222" ht="15.75" customHeight="1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</row>
    <row r="223" ht="15.75" customHeight="1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</row>
    <row r="224" ht="15.75" customHeight="1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</row>
    <row r="225" ht="15.75" customHeight="1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</row>
    <row r="226" ht="15.75" customHeight="1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</row>
    <row r="227" ht="15.75" customHeight="1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</row>
    <row r="228" ht="15.75" customHeight="1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</row>
    <row r="229" ht="15.75" customHeight="1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</row>
    <row r="230" ht="15.75" customHeight="1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</row>
    <row r="231" ht="15.75" customHeight="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</row>
    <row r="232" ht="15.75" customHeight="1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</row>
    <row r="233" ht="15.75" customHeight="1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</row>
    <row r="234" ht="15.75" customHeight="1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</row>
    <row r="235" ht="15.75" customHeight="1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</row>
    <row r="236" ht="15.75" customHeight="1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</row>
    <row r="237" ht="15.75" customHeight="1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</row>
    <row r="238" ht="15.75" customHeight="1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</row>
    <row r="239" ht="15.75" customHeight="1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</row>
    <row r="240" ht="15.75" customHeight="1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</row>
    <row r="241" ht="15.75" customHeight="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</row>
    <row r="242" ht="15.75" customHeight="1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</row>
    <row r="243" ht="15.75" customHeight="1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</row>
    <row r="244" ht="15.75" customHeight="1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</row>
    <row r="245" ht="15.75" customHeight="1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</row>
    <row r="246" ht="15.75" customHeight="1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</row>
    <row r="247" ht="15.75" customHeight="1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</row>
    <row r="248" ht="15.75" customHeight="1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</row>
    <row r="249" ht="15.75" customHeight="1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</row>
    <row r="250" ht="15.75" customHeight="1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</row>
    <row r="251" ht="15.75" customHeight="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</row>
    <row r="252" ht="15.75" customHeight="1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</row>
    <row r="253" ht="15.75" customHeight="1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</row>
    <row r="254" ht="15.75" customHeight="1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</row>
    <row r="255" ht="15.75" customHeight="1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</row>
    <row r="256" ht="15.75" customHeight="1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</row>
    <row r="257" ht="15.75" customHeight="1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</row>
    <row r="258" ht="15.75" customHeight="1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</row>
    <row r="259" ht="15.75" customHeight="1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</row>
    <row r="260" ht="15.75" customHeight="1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</row>
    <row r="261" ht="15.75" customHeight="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</row>
    <row r="262" ht="15.75" customHeight="1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</row>
    <row r="263" ht="15.75" customHeight="1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</row>
    <row r="264" ht="15.75" customHeight="1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</row>
    <row r="265" ht="15.75" customHeight="1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</row>
    <row r="266" ht="15.75" customHeight="1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</row>
    <row r="267" ht="15.75" customHeight="1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</row>
    <row r="268" ht="15.75" customHeight="1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</row>
    <row r="269" ht="15.75" customHeight="1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</row>
    <row r="270" ht="15.75" customHeight="1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</row>
    <row r="271" ht="15.75" customHeight="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</row>
    <row r="272" ht="15.75" customHeight="1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</sheetData>
  <mergeCells count="82">
    <mergeCell ref="B14:D14"/>
    <mergeCell ref="B15:D15"/>
    <mergeCell ref="B16:D16"/>
    <mergeCell ref="B17:D17"/>
    <mergeCell ref="A19:D19"/>
    <mergeCell ref="B20:D20"/>
    <mergeCell ref="B21:D21"/>
    <mergeCell ref="B22:D22"/>
    <mergeCell ref="A23:D23"/>
    <mergeCell ref="B24:D24"/>
    <mergeCell ref="B25:D25"/>
    <mergeCell ref="B26:D26"/>
    <mergeCell ref="B27:D27"/>
    <mergeCell ref="B28:D2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71:D71"/>
    <mergeCell ref="E71:N77"/>
    <mergeCell ref="P71:W73"/>
    <mergeCell ref="Y71:Z73"/>
    <mergeCell ref="B52:D52"/>
    <mergeCell ref="B53:D53"/>
    <mergeCell ref="B54:D54"/>
    <mergeCell ref="B55:D55"/>
    <mergeCell ref="B56:D56"/>
    <mergeCell ref="B57:D57"/>
    <mergeCell ref="B58:D58"/>
    <mergeCell ref="I2:J3"/>
    <mergeCell ref="K2:K5"/>
    <mergeCell ref="I4:I5"/>
    <mergeCell ref="J4:J5"/>
    <mergeCell ref="L2:L5"/>
    <mergeCell ref="M2:M5"/>
    <mergeCell ref="N2:N5"/>
    <mergeCell ref="P2:P5"/>
    <mergeCell ref="Q2:Q5"/>
    <mergeCell ref="R2:R5"/>
    <mergeCell ref="S2:S5"/>
    <mergeCell ref="T4:T5"/>
    <mergeCell ref="U4:U5"/>
    <mergeCell ref="T2:U3"/>
    <mergeCell ref="V2:V5"/>
    <mergeCell ref="W2:W5"/>
    <mergeCell ref="X2:X5"/>
    <mergeCell ref="Y2:Y5"/>
    <mergeCell ref="Z2:Z5"/>
    <mergeCell ref="AA2:AA5"/>
    <mergeCell ref="K1:L1"/>
    <mergeCell ref="A2:B5"/>
    <mergeCell ref="C2:D5"/>
    <mergeCell ref="E2:E5"/>
    <mergeCell ref="F2:F5"/>
    <mergeCell ref="G2:G5"/>
    <mergeCell ref="H2:H5"/>
    <mergeCell ref="A7:D7"/>
    <mergeCell ref="B8:D8"/>
    <mergeCell ref="B9:D9"/>
    <mergeCell ref="B10:D10"/>
    <mergeCell ref="B11:D11"/>
    <mergeCell ref="B12:D12"/>
    <mergeCell ref="B13:D13"/>
    <mergeCell ref="B29:D29"/>
    <mergeCell ref="B30:D30"/>
  </mergeCells>
  <conditionalFormatting sqref="A2:B3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 outlineLevelCol="1"/>
  <cols>
    <col customWidth="1" min="1" max="1" width="2.43"/>
    <col customWidth="1" min="2" max="3" width="12.57"/>
    <col customWidth="1" min="4" max="4" width="9.14"/>
    <col customWidth="1" min="5" max="5" width="5.43"/>
    <col customWidth="1" min="6" max="6" width="7.14"/>
    <col customWidth="1" min="7" max="7" width="5.43"/>
    <col customWidth="1" min="8" max="8" width="11.14"/>
    <col customWidth="1" min="9" max="9" width="5.86"/>
    <col customWidth="1" min="10" max="11" width="11.14"/>
    <col customWidth="1" min="12" max="12" width="6.14"/>
    <col customWidth="1" min="13" max="13" width="11.14"/>
    <col customWidth="1" min="14" max="14" width="12.0"/>
    <col customWidth="1" min="15" max="15" width="7.14"/>
    <col customWidth="1" min="16" max="16" width="6.14"/>
    <col customWidth="1" min="17" max="17" width="6.86"/>
    <col customWidth="1" min="18" max="18" width="5.43"/>
    <col customWidth="1" min="19" max="19" width="11.14"/>
    <col customWidth="1" min="20" max="20" width="5.43"/>
    <col customWidth="1" min="21" max="21" width="11.14"/>
    <col customWidth="1" min="22" max="22" width="11.0"/>
    <col customWidth="1" min="23" max="23" width="5.86"/>
    <col customWidth="1" min="24" max="24" width="11.14"/>
    <col customWidth="1" min="25" max="27" width="11.14" outlineLevel="1"/>
  </cols>
  <sheetData>
    <row r="1">
      <c r="A1" s="1"/>
      <c r="B1" s="2"/>
      <c r="C1" s="3"/>
      <c r="D1" s="3"/>
      <c r="E1" s="3"/>
      <c r="F1" s="3"/>
      <c r="G1" s="3"/>
      <c r="H1" s="3"/>
      <c r="I1" s="3"/>
      <c r="J1" s="4"/>
      <c r="K1" s="4" t="s">
        <v>100</v>
      </c>
      <c r="L1" s="6"/>
      <c r="M1" s="191">
        <f>M69</f>
        <v>0</v>
      </c>
      <c r="N1" s="8"/>
      <c r="O1" s="192" t="s">
        <v>1</v>
      </c>
      <c r="P1" s="193" t="s">
        <v>2</v>
      </c>
      <c r="Q1" s="193"/>
      <c r="R1" s="194">
        <v>0.2</v>
      </c>
      <c r="S1" s="195" t="s">
        <v>3</v>
      </c>
      <c r="T1" s="196" t="str">
        <f>X72</f>
        <v>#DIV/0!</v>
      </c>
      <c r="U1" s="195" t="s">
        <v>4</v>
      </c>
      <c r="V1" s="197">
        <f>X64</f>
        <v>0</v>
      </c>
      <c r="W1" s="198"/>
      <c r="X1" s="199" t="s">
        <v>5</v>
      </c>
      <c r="Y1" s="200" t="str">
        <f>AA72</f>
        <v>#DIV/0!</v>
      </c>
      <c r="Z1" s="201" t="s">
        <v>6</v>
      </c>
      <c r="AA1" s="202">
        <f>AA67</f>
        <v>0</v>
      </c>
    </row>
    <row r="2" ht="10.5" customHeight="1">
      <c r="A2" s="20"/>
      <c r="B2" s="21"/>
      <c r="C2" s="20" t="s">
        <v>7</v>
      </c>
      <c r="D2" s="21"/>
      <c r="E2" s="203" t="s">
        <v>8</v>
      </c>
      <c r="F2" s="203" t="s">
        <v>9</v>
      </c>
      <c r="G2" s="203" t="s">
        <v>10</v>
      </c>
      <c r="H2" s="203" t="s">
        <v>11</v>
      </c>
      <c r="I2" s="204" t="s">
        <v>12</v>
      </c>
      <c r="J2" s="25"/>
      <c r="K2" s="203" t="s">
        <v>13</v>
      </c>
      <c r="L2" s="203" t="s">
        <v>14</v>
      </c>
      <c r="M2" s="205" t="s">
        <v>15</v>
      </c>
      <c r="N2" s="204" t="s">
        <v>16</v>
      </c>
      <c r="O2" s="53"/>
      <c r="P2" s="206" t="s">
        <v>8</v>
      </c>
      <c r="Q2" s="207" t="s">
        <v>9</v>
      </c>
      <c r="R2" s="208" t="s">
        <v>10</v>
      </c>
      <c r="S2" s="208" t="s">
        <v>11</v>
      </c>
      <c r="T2" s="209" t="s">
        <v>12</v>
      </c>
      <c r="U2" s="32"/>
      <c r="V2" s="208" t="s">
        <v>17</v>
      </c>
      <c r="W2" s="208" t="s">
        <v>18</v>
      </c>
      <c r="X2" s="209" t="s">
        <v>19</v>
      </c>
      <c r="Y2" s="210" t="s">
        <v>20</v>
      </c>
      <c r="Z2" s="210" t="s">
        <v>21</v>
      </c>
      <c r="AA2" s="211" t="s">
        <v>22</v>
      </c>
    </row>
    <row r="3" ht="19.5" customHeight="1">
      <c r="A3" s="35"/>
      <c r="B3" s="36"/>
      <c r="C3" s="35"/>
      <c r="D3" s="36"/>
      <c r="E3" s="37"/>
      <c r="F3" s="37"/>
      <c r="G3" s="37"/>
      <c r="H3" s="37"/>
      <c r="I3" s="38"/>
      <c r="J3" s="39"/>
      <c r="K3" s="37"/>
      <c r="L3" s="37"/>
      <c r="M3" s="40"/>
      <c r="N3" s="35"/>
      <c r="O3" s="53"/>
      <c r="P3" s="36"/>
      <c r="Q3" s="41"/>
      <c r="R3" s="37"/>
      <c r="S3" s="37"/>
      <c r="T3" s="38"/>
      <c r="U3" s="39"/>
      <c r="V3" s="37"/>
      <c r="W3" s="37"/>
      <c r="X3" s="35"/>
      <c r="Y3" s="37"/>
      <c r="Z3" s="37"/>
      <c r="AA3" s="35"/>
    </row>
    <row r="4" ht="16.5" customHeight="1">
      <c r="A4" s="35"/>
      <c r="B4" s="36"/>
      <c r="C4" s="35"/>
      <c r="D4" s="36"/>
      <c r="E4" s="37"/>
      <c r="F4" s="37"/>
      <c r="G4" s="37"/>
      <c r="H4" s="37"/>
      <c r="I4" s="212" t="s">
        <v>23</v>
      </c>
      <c r="J4" s="212" t="s">
        <v>24</v>
      </c>
      <c r="K4" s="37"/>
      <c r="L4" s="37"/>
      <c r="M4" s="40"/>
      <c r="N4" s="35"/>
      <c r="O4" s="53"/>
      <c r="P4" s="36"/>
      <c r="Q4" s="41"/>
      <c r="R4" s="37"/>
      <c r="S4" s="37"/>
      <c r="T4" s="213" t="s">
        <v>23</v>
      </c>
      <c r="U4" s="213" t="s">
        <v>24</v>
      </c>
      <c r="V4" s="37"/>
      <c r="W4" s="37"/>
      <c r="X4" s="35"/>
      <c r="Y4" s="37"/>
      <c r="Z4" s="37"/>
      <c r="AA4" s="35"/>
    </row>
    <row r="5" ht="16.5" customHeight="1">
      <c r="A5" s="38"/>
      <c r="B5" s="39"/>
      <c r="C5" s="38"/>
      <c r="D5" s="39"/>
      <c r="E5" s="45"/>
      <c r="F5" s="45"/>
      <c r="G5" s="45"/>
      <c r="H5" s="45"/>
      <c r="I5" s="45"/>
      <c r="J5" s="45"/>
      <c r="K5" s="45"/>
      <c r="L5" s="45"/>
      <c r="M5" s="46"/>
      <c r="N5" s="47"/>
      <c r="O5" s="53"/>
      <c r="P5" s="44"/>
      <c r="Q5" s="48"/>
      <c r="R5" s="45"/>
      <c r="S5" s="45"/>
      <c r="T5" s="45"/>
      <c r="U5" s="45"/>
      <c r="V5" s="45"/>
      <c r="W5" s="45"/>
      <c r="X5" s="47"/>
      <c r="Y5" s="45"/>
      <c r="Z5" s="45"/>
      <c r="AA5" s="47"/>
    </row>
    <row r="6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  <c r="N6" s="52"/>
      <c r="O6" s="53"/>
      <c r="P6" s="49"/>
      <c r="Q6" s="49"/>
      <c r="R6" s="50"/>
      <c r="S6" s="50"/>
      <c r="T6" s="50"/>
      <c r="U6" s="50"/>
      <c r="V6" s="50"/>
      <c r="W6" s="50"/>
      <c r="X6" s="51"/>
      <c r="Y6" s="51"/>
      <c r="Z6" s="52"/>
      <c r="AA6" s="52"/>
    </row>
    <row r="7">
      <c r="A7" s="214" t="s">
        <v>25</v>
      </c>
      <c r="B7" s="55"/>
      <c r="C7" s="55"/>
      <c r="D7" s="56"/>
      <c r="E7" s="215"/>
      <c r="F7" s="57"/>
      <c r="G7" s="215"/>
      <c r="H7" s="215"/>
      <c r="I7" s="215"/>
      <c r="J7" s="215"/>
      <c r="K7" s="215"/>
      <c r="L7" s="215"/>
      <c r="M7" s="58"/>
      <c r="N7" s="214"/>
      <c r="O7" s="53"/>
      <c r="P7" s="60"/>
      <c r="Q7" s="60"/>
      <c r="R7" s="57"/>
      <c r="S7" s="57"/>
      <c r="T7" s="57"/>
      <c r="U7" s="57"/>
      <c r="V7" s="57"/>
      <c r="W7" s="57"/>
      <c r="X7" s="58"/>
      <c r="Y7" s="58"/>
      <c r="Z7" s="58"/>
      <c r="AA7" s="58"/>
    </row>
    <row r="8">
      <c r="A8" s="216"/>
      <c r="B8" s="217" t="s">
        <v>26</v>
      </c>
      <c r="C8" s="116"/>
      <c r="D8" s="117"/>
      <c r="E8" s="218">
        <v>1.0</v>
      </c>
      <c r="F8" s="219" t="s">
        <v>27</v>
      </c>
      <c r="G8" s="220">
        <v>1.0</v>
      </c>
      <c r="H8" s="221"/>
      <c r="I8" s="221"/>
      <c r="J8" s="221"/>
      <c r="K8" s="222">
        <f t="shared" ref="K8:K17" si="1">(E8*G8*H8)+(I8*J8*E8*G8)</f>
        <v>0</v>
      </c>
      <c r="L8" s="223">
        <v>0.09</v>
      </c>
      <c r="M8" s="224">
        <f t="shared" ref="M8:M17" si="2">K8/(1-L8)</f>
        <v>0</v>
      </c>
      <c r="N8" s="225"/>
      <c r="O8" s="53"/>
      <c r="P8" s="220">
        <v>1.0</v>
      </c>
      <c r="Q8" s="219" t="s">
        <v>27</v>
      </c>
      <c r="R8" s="220">
        <v>1.0</v>
      </c>
      <c r="S8" s="220"/>
      <c r="T8" s="220"/>
      <c r="U8" s="220"/>
      <c r="V8" s="226">
        <f t="shared" ref="V8:V17" si="3">(P8*R8*S8)+(T8*U8*P8*R8)</f>
        <v>0</v>
      </c>
      <c r="W8" s="227">
        <v>0.09</v>
      </c>
      <c r="X8" s="228">
        <f t="shared" ref="X8:X17" si="4">V8/(1-W8)</f>
        <v>0</v>
      </c>
      <c r="Y8" s="226">
        <v>0.0</v>
      </c>
      <c r="Z8" s="227">
        <v>0.09</v>
      </c>
      <c r="AA8" s="228">
        <f t="shared" ref="AA8:AA17" si="5">Y8/(1-Z8)</f>
        <v>0</v>
      </c>
    </row>
    <row r="9">
      <c r="A9" s="229"/>
      <c r="B9" s="217" t="s">
        <v>28</v>
      </c>
      <c r="C9" s="116"/>
      <c r="D9" s="117"/>
      <c r="E9" s="230">
        <v>1.0</v>
      </c>
      <c r="F9" s="219" t="s">
        <v>27</v>
      </c>
      <c r="G9" s="190">
        <v>1.0</v>
      </c>
      <c r="H9" s="221"/>
      <c r="I9" s="221"/>
      <c r="J9" s="221"/>
      <c r="K9" s="222">
        <f t="shared" si="1"/>
        <v>0</v>
      </c>
      <c r="L9" s="223">
        <v>0.09</v>
      </c>
      <c r="M9" s="224">
        <f t="shared" si="2"/>
        <v>0</v>
      </c>
      <c r="N9" s="231"/>
      <c r="O9" s="53"/>
      <c r="P9" s="190">
        <v>1.0</v>
      </c>
      <c r="Q9" s="219" t="s">
        <v>27</v>
      </c>
      <c r="R9" s="190">
        <v>1.0</v>
      </c>
      <c r="S9" s="190"/>
      <c r="T9" s="190"/>
      <c r="U9" s="190"/>
      <c r="V9" s="226">
        <f t="shared" si="3"/>
        <v>0</v>
      </c>
      <c r="W9" s="227">
        <v>0.09</v>
      </c>
      <c r="X9" s="228">
        <f t="shared" si="4"/>
        <v>0</v>
      </c>
      <c r="Y9" s="226">
        <v>0.0</v>
      </c>
      <c r="Z9" s="227">
        <v>0.09</v>
      </c>
      <c r="AA9" s="228">
        <f t="shared" si="5"/>
        <v>0</v>
      </c>
    </row>
    <row r="10">
      <c r="A10" s="229"/>
      <c r="B10" s="232" t="s">
        <v>29</v>
      </c>
      <c r="C10" s="116"/>
      <c r="D10" s="117"/>
      <c r="E10" s="230">
        <v>1.0</v>
      </c>
      <c r="F10" s="219" t="s">
        <v>27</v>
      </c>
      <c r="G10" s="190">
        <v>1.0</v>
      </c>
      <c r="H10" s="221"/>
      <c r="I10" s="221"/>
      <c r="J10" s="221"/>
      <c r="K10" s="222">
        <f t="shared" si="1"/>
        <v>0</v>
      </c>
      <c r="L10" s="223">
        <v>0.09</v>
      </c>
      <c r="M10" s="224">
        <f t="shared" si="2"/>
        <v>0</v>
      </c>
      <c r="N10" s="231"/>
      <c r="O10" s="53"/>
      <c r="P10" s="190">
        <v>1.0</v>
      </c>
      <c r="Q10" s="219" t="s">
        <v>27</v>
      </c>
      <c r="R10" s="190">
        <v>1.0</v>
      </c>
      <c r="S10" s="190"/>
      <c r="T10" s="190"/>
      <c r="U10" s="190"/>
      <c r="V10" s="226">
        <f t="shared" si="3"/>
        <v>0</v>
      </c>
      <c r="W10" s="227">
        <v>0.09</v>
      </c>
      <c r="X10" s="228">
        <f t="shared" si="4"/>
        <v>0</v>
      </c>
      <c r="Y10" s="226">
        <v>0.0</v>
      </c>
      <c r="Z10" s="227">
        <v>0.09</v>
      </c>
      <c r="AA10" s="228">
        <f t="shared" si="5"/>
        <v>0</v>
      </c>
    </row>
    <row r="11">
      <c r="A11" s="229"/>
      <c r="B11" s="217" t="s">
        <v>101</v>
      </c>
      <c r="C11" s="116"/>
      <c r="D11" s="117"/>
      <c r="E11" s="230">
        <v>1.0</v>
      </c>
      <c r="F11" s="219" t="s">
        <v>27</v>
      </c>
      <c r="G11" s="190">
        <v>1.0</v>
      </c>
      <c r="H11" s="221"/>
      <c r="I11" s="221"/>
      <c r="J11" s="221"/>
      <c r="K11" s="222">
        <f t="shared" si="1"/>
        <v>0</v>
      </c>
      <c r="L11" s="223">
        <v>0.09</v>
      </c>
      <c r="M11" s="224">
        <f t="shared" si="2"/>
        <v>0</v>
      </c>
      <c r="N11" s="231"/>
      <c r="O11" s="53"/>
      <c r="P11" s="190">
        <v>1.0</v>
      </c>
      <c r="Q11" s="219" t="s">
        <v>27</v>
      </c>
      <c r="R11" s="190">
        <v>1.0</v>
      </c>
      <c r="S11" s="190"/>
      <c r="T11" s="190"/>
      <c r="U11" s="190"/>
      <c r="V11" s="226">
        <f t="shared" si="3"/>
        <v>0</v>
      </c>
      <c r="W11" s="227">
        <v>0.09</v>
      </c>
      <c r="X11" s="228">
        <f t="shared" si="4"/>
        <v>0</v>
      </c>
      <c r="Y11" s="226">
        <v>0.0</v>
      </c>
      <c r="Z11" s="227">
        <v>0.09</v>
      </c>
      <c r="AA11" s="228">
        <f t="shared" si="5"/>
        <v>0</v>
      </c>
    </row>
    <row r="12">
      <c r="A12" s="229"/>
      <c r="B12" s="217" t="s">
        <v>31</v>
      </c>
      <c r="C12" s="116"/>
      <c r="D12" s="117"/>
      <c r="E12" s="230">
        <v>1.0</v>
      </c>
      <c r="F12" s="219" t="s">
        <v>32</v>
      </c>
      <c r="G12" s="190">
        <v>1.0</v>
      </c>
      <c r="H12" s="221"/>
      <c r="I12" s="221"/>
      <c r="J12" s="221"/>
      <c r="K12" s="222">
        <f t="shared" si="1"/>
        <v>0</v>
      </c>
      <c r="L12" s="223">
        <v>0.09</v>
      </c>
      <c r="M12" s="224">
        <f t="shared" si="2"/>
        <v>0</v>
      </c>
      <c r="N12" s="231"/>
      <c r="O12" s="53"/>
      <c r="P12" s="190">
        <v>1.0</v>
      </c>
      <c r="Q12" s="219" t="s">
        <v>32</v>
      </c>
      <c r="R12" s="190">
        <v>1.0</v>
      </c>
      <c r="S12" s="190"/>
      <c r="T12" s="190"/>
      <c r="U12" s="190"/>
      <c r="V12" s="226">
        <f t="shared" si="3"/>
        <v>0</v>
      </c>
      <c r="W12" s="227">
        <v>0.09</v>
      </c>
      <c r="X12" s="228">
        <f t="shared" si="4"/>
        <v>0</v>
      </c>
      <c r="Y12" s="226">
        <v>0.0</v>
      </c>
      <c r="Z12" s="227">
        <v>0.09</v>
      </c>
      <c r="AA12" s="228">
        <f t="shared" si="5"/>
        <v>0</v>
      </c>
    </row>
    <row r="13">
      <c r="A13" s="229"/>
      <c r="B13" s="217" t="s">
        <v>33</v>
      </c>
      <c r="C13" s="116"/>
      <c r="D13" s="117"/>
      <c r="E13" s="230">
        <v>1.0</v>
      </c>
      <c r="F13" s="219" t="s">
        <v>27</v>
      </c>
      <c r="G13" s="190">
        <v>1.0</v>
      </c>
      <c r="H13" s="221"/>
      <c r="I13" s="221"/>
      <c r="J13" s="221"/>
      <c r="K13" s="222">
        <f t="shared" si="1"/>
        <v>0</v>
      </c>
      <c r="L13" s="223">
        <v>0.09</v>
      </c>
      <c r="M13" s="224">
        <f t="shared" si="2"/>
        <v>0</v>
      </c>
      <c r="N13" s="231"/>
      <c r="O13" s="53"/>
      <c r="P13" s="190">
        <v>1.0</v>
      </c>
      <c r="Q13" s="219" t="s">
        <v>27</v>
      </c>
      <c r="R13" s="190">
        <v>1.0</v>
      </c>
      <c r="S13" s="190"/>
      <c r="T13" s="190"/>
      <c r="U13" s="190"/>
      <c r="V13" s="226">
        <f t="shared" si="3"/>
        <v>0</v>
      </c>
      <c r="W13" s="227">
        <v>0.09</v>
      </c>
      <c r="X13" s="228">
        <f t="shared" si="4"/>
        <v>0</v>
      </c>
      <c r="Y13" s="226">
        <v>0.0</v>
      </c>
      <c r="Z13" s="227">
        <v>0.09</v>
      </c>
      <c r="AA13" s="228">
        <f t="shared" si="5"/>
        <v>0</v>
      </c>
    </row>
    <row r="14">
      <c r="A14" s="229"/>
      <c r="B14" s="217" t="s">
        <v>34</v>
      </c>
      <c r="C14" s="116"/>
      <c r="D14" s="117"/>
      <c r="E14" s="230">
        <v>1.0</v>
      </c>
      <c r="F14" s="219" t="s">
        <v>27</v>
      </c>
      <c r="G14" s="190">
        <v>1.0</v>
      </c>
      <c r="H14" s="221"/>
      <c r="I14" s="221"/>
      <c r="J14" s="221"/>
      <c r="K14" s="222">
        <f t="shared" si="1"/>
        <v>0</v>
      </c>
      <c r="L14" s="223">
        <v>0.09</v>
      </c>
      <c r="M14" s="224">
        <f t="shared" si="2"/>
        <v>0</v>
      </c>
      <c r="N14" s="231"/>
      <c r="O14" s="53"/>
      <c r="P14" s="190">
        <v>1.0</v>
      </c>
      <c r="Q14" s="219" t="s">
        <v>27</v>
      </c>
      <c r="R14" s="190">
        <v>1.0</v>
      </c>
      <c r="S14" s="190"/>
      <c r="T14" s="190"/>
      <c r="U14" s="190"/>
      <c r="V14" s="226">
        <f t="shared" si="3"/>
        <v>0</v>
      </c>
      <c r="W14" s="227">
        <v>0.09</v>
      </c>
      <c r="X14" s="228">
        <f t="shared" si="4"/>
        <v>0</v>
      </c>
      <c r="Y14" s="226">
        <v>0.0</v>
      </c>
      <c r="Z14" s="227">
        <v>0.09</v>
      </c>
      <c r="AA14" s="228">
        <f t="shared" si="5"/>
        <v>0</v>
      </c>
    </row>
    <row r="15">
      <c r="A15" s="229"/>
      <c r="B15" s="217" t="s">
        <v>35</v>
      </c>
      <c r="C15" s="116"/>
      <c r="D15" s="117"/>
      <c r="E15" s="230">
        <v>1.0</v>
      </c>
      <c r="F15" s="219" t="s">
        <v>27</v>
      </c>
      <c r="G15" s="190">
        <v>1.0</v>
      </c>
      <c r="H15" s="221"/>
      <c r="I15" s="221"/>
      <c r="J15" s="221"/>
      <c r="K15" s="222">
        <f t="shared" si="1"/>
        <v>0</v>
      </c>
      <c r="L15" s="223">
        <v>0.09</v>
      </c>
      <c r="M15" s="224">
        <f t="shared" si="2"/>
        <v>0</v>
      </c>
      <c r="N15" s="231"/>
      <c r="O15" s="53"/>
      <c r="P15" s="190">
        <v>1.0</v>
      </c>
      <c r="Q15" s="219" t="s">
        <v>27</v>
      </c>
      <c r="R15" s="190">
        <v>1.0</v>
      </c>
      <c r="S15" s="190"/>
      <c r="T15" s="190"/>
      <c r="U15" s="190"/>
      <c r="V15" s="226">
        <f t="shared" si="3"/>
        <v>0</v>
      </c>
      <c r="W15" s="227">
        <v>0.09</v>
      </c>
      <c r="X15" s="228">
        <f t="shared" si="4"/>
        <v>0</v>
      </c>
      <c r="Y15" s="226">
        <v>0.0</v>
      </c>
      <c r="Z15" s="227">
        <v>0.09</v>
      </c>
      <c r="AA15" s="228">
        <f t="shared" si="5"/>
        <v>0</v>
      </c>
    </row>
    <row r="16">
      <c r="A16" s="229"/>
      <c r="B16" s="217" t="s">
        <v>36</v>
      </c>
      <c r="C16" s="116"/>
      <c r="D16" s="117"/>
      <c r="E16" s="230">
        <v>1.0</v>
      </c>
      <c r="F16" s="219" t="s">
        <v>27</v>
      </c>
      <c r="G16" s="190">
        <v>1.0</v>
      </c>
      <c r="H16" s="221"/>
      <c r="I16" s="221"/>
      <c r="J16" s="221"/>
      <c r="K16" s="222">
        <f t="shared" si="1"/>
        <v>0</v>
      </c>
      <c r="L16" s="223">
        <v>0.09</v>
      </c>
      <c r="M16" s="224">
        <f t="shared" si="2"/>
        <v>0</v>
      </c>
      <c r="N16" s="231"/>
      <c r="O16" s="53"/>
      <c r="P16" s="190">
        <v>1.0</v>
      </c>
      <c r="Q16" s="219" t="s">
        <v>27</v>
      </c>
      <c r="R16" s="190">
        <v>1.0</v>
      </c>
      <c r="S16" s="190"/>
      <c r="T16" s="190"/>
      <c r="U16" s="190"/>
      <c r="V16" s="226">
        <f t="shared" si="3"/>
        <v>0</v>
      </c>
      <c r="W16" s="227">
        <v>0.09</v>
      </c>
      <c r="X16" s="228">
        <f t="shared" si="4"/>
        <v>0</v>
      </c>
      <c r="Y16" s="226">
        <v>0.0</v>
      </c>
      <c r="Z16" s="227">
        <v>0.09</v>
      </c>
      <c r="AA16" s="228">
        <f t="shared" si="5"/>
        <v>0</v>
      </c>
    </row>
    <row r="17">
      <c r="A17" s="229"/>
      <c r="B17" s="217" t="s">
        <v>37</v>
      </c>
      <c r="C17" s="116"/>
      <c r="D17" s="117"/>
      <c r="E17" s="230">
        <v>1.0</v>
      </c>
      <c r="F17" s="219" t="s">
        <v>27</v>
      </c>
      <c r="G17" s="190">
        <v>1.0</v>
      </c>
      <c r="H17" s="221"/>
      <c r="I17" s="221"/>
      <c r="J17" s="221"/>
      <c r="K17" s="222">
        <f t="shared" si="1"/>
        <v>0</v>
      </c>
      <c r="L17" s="223">
        <v>0.09</v>
      </c>
      <c r="M17" s="224">
        <f t="shared" si="2"/>
        <v>0</v>
      </c>
      <c r="N17" s="231"/>
      <c r="O17" s="53"/>
      <c r="P17" s="190">
        <v>1.0</v>
      </c>
      <c r="Q17" s="219" t="s">
        <v>27</v>
      </c>
      <c r="R17" s="190">
        <v>1.0</v>
      </c>
      <c r="S17" s="190"/>
      <c r="T17" s="190"/>
      <c r="U17" s="190"/>
      <c r="V17" s="226">
        <f t="shared" si="3"/>
        <v>0</v>
      </c>
      <c r="W17" s="227">
        <v>0.09</v>
      </c>
      <c r="X17" s="228">
        <f t="shared" si="4"/>
        <v>0</v>
      </c>
      <c r="Y17" s="226">
        <v>0.0</v>
      </c>
      <c r="Z17" s="227">
        <v>0.09</v>
      </c>
      <c r="AA17" s="228">
        <f t="shared" si="5"/>
        <v>0</v>
      </c>
    </row>
    <row r="18">
      <c r="A18" s="233"/>
      <c r="B18" s="234"/>
      <c r="C18" s="234"/>
      <c r="D18" s="235"/>
      <c r="E18" s="236"/>
      <c r="F18" s="237"/>
      <c r="G18" s="238"/>
      <c r="H18" s="239"/>
      <c r="I18" s="240"/>
      <c r="J18" s="240"/>
      <c r="K18" s="240"/>
      <c r="L18" s="241" t="s">
        <v>38</v>
      </c>
      <c r="M18" s="242">
        <f>SUM(M8:M17)</f>
        <v>0</v>
      </c>
      <c r="N18" s="243"/>
      <c r="O18" s="53"/>
      <c r="P18" s="244"/>
      <c r="Q18" s="237"/>
      <c r="R18" s="238"/>
      <c r="S18" s="238"/>
      <c r="T18" s="245"/>
      <c r="U18" s="245"/>
      <c r="V18" s="245"/>
      <c r="W18" s="246" t="s">
        <v>38</v>
      </c>
      <c r="X18" s="242">
        <f>SUM(X8:X17)</f>
        <v>0</v>
      </c>
      <c r="Y18" s="242"/>
      <c r="Z18" s="246" t="s">
        <v>38</v>
      </c>
      <c r="AA18" s="242">
        <f>SUM(AA8:AA17)</f>
        <v>0</v>
      </c>
    </row>
    <row r="19" ht="15.75" customHeight="1">
      <c r="A19" s="214" t="s">
        <v>39</v>
      </c>
      <c r="B19" s="55"/>
      <c r="C19" s="55"/>
      <c r="D19" s="56"/>
      <c r="E19" s="92"/>
      <c r="F19" s="60"/>
      <c r="G19" s="57"/>
      <c r="H19" s="57"/>
      <c r="I19" s="57"/>
      <c r="J19" s="57"/>
      <c r="K19" s="57"/>
      <c r="L19" s="57"/>
      <c r="M19" s="58"/>
      <c r="N19" s="93"/>
      <c r="O19" s="53"/>
      <c r="P19" s="60"/>
      <c r="Q19" s="60"/>
      <c r="R19" s="57"/>
      <c r="S19" s="57"/>
      <c r="T19" s="57"/>
      <c r="U19" s="57"/>
      <c r="V19" s="57"/>
      <c r="W19" s="57"/>
      <c r="X19" s="58"/>
      <c r="Y19" s="58"/>
      <c r="Z19" s="57"/>
      <c r="AA19" s="58"/>
    </row>
    <row r="20" ht="15.75" customHeight="1">
      <c r="A20" s="247"/>
      <c r="B20" s="105" t="s">
        <v>40</v>
      </c>
      <c r="C20" s="99"/>
      <c r="D20" s="100"/>
      <c r="E20" s="101"/>
      <c r="F20" s="102"/>
      <c r="G20" s="103"/>
      <c r="H20" s="103"/>
      <c r="I20" s="103"/>
      <c r="J20" s="103"/>
      <c r="K20" s="103"/>
      <c r="L20" s="103"/>
      <c r="M20" s="104"/>
      <c r="N20" s="105"/>
      <c r="O20" s="53"/>
      <c r="P20" s="102"/>
      <c r="Q20" s="102"/>
      <c r="R20" s="103"/>
      <c r="S20" s="103"/>
      <c r="T20" s="103"/>
      <c r="U20" s="103"/>
      <c r="V20" s="103"/>
      <c r="W20" s="103"/>
      <c r="X20" s="104"/>
      <c r="Y20" s="104"/>
      <c r="Z20" s="103"/>
      <c r="AA20" s="104"/>
    </row>
    <row r="21" ht="15.75" customHeight="1">
      <c r="A21" s="233"/>
      <c r="B21" s="248" t="s">
        <v>41</v>
      </c>
      <c r="C21" s="110"/>
      <c r="D21" s="111"/>
      <c r="E21" s="249">
        <v>1.0</v>
      </c>
      <c r="F21" s="249" t="s">
        <v>27</v>
      </c>
      <c r="G21" s="250">
        <v>1.0</v>
      </c>
      <c r="H21" s="250"/>
      <c r="I21" s="250"/>
      <c r="J21" s="250"/>
      <c r="K21" s="226">
        <f t="shared" ref="K21:K22" si="6">(E21*G21*H21)+(I21*J21*E21*G21)</f>
        <v>0</v>
      </c>
      <c r="L21" s="227">
        <v>0.09</v>
      </c>
      <c r="M21" s="228">
        <f t="shared" ref="M21:M22" si="7">K21/(1-L21)</f>
        <v>0</v>
      </c>
      <c r="N21" s="231"/>
      <c r="O21" s="53"/>
      <c r="P21" s="249">
        <v>1.0</v>
      </c>
      <c r="Q21" s="249" t="s">
        <v>27</v>
      </c>
      <c r="R21" s="250">
        <v>1.0</v>
      </c>
      <c r="S21" s="250"/>
      <c r="T21" s="250"/>
      <c r="U21" s="250"/>
      <c r="V21" s="226">
        <f t="shared" ref="V21:V22" si="8">(P21*R21*S21)+(T21*U21*P21*R21)</f>
        <v>0</v>
      </c>
      <c r="W21" s="227">
        <v>0.09</v>
      </c>
      <c r="X21" s="228">
        <f t="shared" ref="X21:X22" si="9">V21/(1-W21)</f>
        <v>0</v>
      </c>
      <c r="Y21" s="226">
        <v>0.0</v>
      </c>
      <c r="Z21" s="227">
        <v>0.09</v>
      </c>
      <c r="AA21" s="228">
        <f t="shared" ref="AA21:AA22" si="10">Y21/(1-Z21)</f>
        <v>0</v>
      </c>
    </row>
    <row r="22" ht="15.75" customHeight="1">
      <c r="A22" s="233"/>
      <c r="B22" s="217" t="s">
        <v>42</v>
      </c>
      <c r="C22" s="116"/>
      <c r="D22" s="117"/>
      <c r="E22" s="251">
        <v>1.0</v>
      </c>
      <c r="F22" s="249" t="s">
        <v>27</v>
      </c>
      <c r="G22" s="226">
        <v>1.0</v>
      </c>
      <c r="H22" s="226"/>
      <c r="I22" s="226"/>
      <c r="J22" s="226"/>
      <c r="K22" s="226">
        <f t="shared" si="6"/>
        <v>0</v>
      </c>
      <c r="L22" s="227">
        <v>0.09</v>
      </c>
      <c r="M22" s="228">
        <f t="shared" si="7"/>
        <v>0</v>
      </c>
      <c r="N22" s="231"/>
      <c r="O22" s="53"/>
      <c r="P22" s="251">
        <v>1.0</v>
      </c>
      <c r="Q22" s="249" t="s">
        <v>27</v>
      </c>
      <c r="R22" s="226">
        <v>1.0</v>
      </c>
      <c r="S22" s="226"/>
      <c r="T22" s="226"/>
      <c r="U22" s="226"/>
      <c r="V22" s="226">
        <f t="shared" si="8"/>
        <v>0</v>
      </c>
      <c r="W22" s="227">
        <v>0.09</v>
      </c>
      <c r="X22" s="228">
        <f t="shared" si="9"/>
        <v>0</v>
      </c>
      <c r="Y22" s="226">
        <v>0.0</v>
      </c>
      <c r="Z22" s="227">
        <v>0.09</v>
      </c>
      <c r="AA22" s="228">
        <f t="shared" si="10"/>
        <v>0</v>
      </c>
    </row>
    <row r="23" ht="15.75" customHeight="1">
      <c r="A23" s="214" t="s">
        <v>43</v>
      </c>
      <c r="B23" s="55"/>
      <c r="C23" s="55"/>
      <c r="D23" s="56"/>
      <c r="E23" s="92"/>
      <c r="F23" s="60"/>
      <c r="G23" s="57"/>
      <c r="H23" s="57"/>
      <c r="I23" s="57"/>
      <c r="J23" s="57"/>
      <c r="K23" s="57"/>
      <c r="L23" s="57"/>
      <c r="M23" s="58"/>
      <c r="N23" s="93"/>
      <c r="O23" s="53"/>
      <c r="P23" s="60"/>
      <c r="Q23" s="60"/>
      <c r="R23" s="57"/>
      <c r="S23" s="57"/>
      <c r="T23" s="57"/>
      <c r="U23" s="57"/>
      <c r="V23" s="57"/>
      <c r="W23" s="57"/>
      <c r="X23" s="58"/>
      <c r="Y23" s="57"/>
      <c r="Z23" s="57"/>
      <c r="AA23" s="58"/>
    </row>
    <row r="24" ht="15.75" customHeight="1">
      <c r="A24" s="252"/>
      <c r="B24" s="253" t="s">
        <v>44</v>
      </c>
      <c r="C24" s="124"/>
      <c r="D24" s="125"/>
      <c r="E24" s="254">
        <v>1.0</v>
      </c>
      <c r="F24" s="249" t="s">
        <v>45</v>
      </c>
      <c r="G24" s="255">
        <v>1.0</v>
      </c>
      <c r="H24" s="255"/>
      <c r="I24" s="255"/>
      <c r="J24" s="255"/>
      <c r="K24" s="226">
        <f t="shared" ref="K24:K25" si="11">(E24*G24*H24)+(I24*J24*E24*G24)</f>
        <v>0</v>
      </c>
      <c r="L24" s="227">
        <v>0.09</v>
      </c>
      <c r="M24" s="228">
        <f t="shared" ref="M24:M25" si="12">K24/(1-L24)</f>
        <v>0</v>
      </c>
      <c r="N24" s="231"/>
      <c r="O24" s="53"/>
      <c r="P24" s="254">
        <v>1.0</v>
      </c>
      <c r="Q24" s="249" t="s">
        <v>45</v>
      </c>
      <c r="R24" s="255">
        <v>1.0</v>
      </c>
      <c r="S24" s="255"/>
      <c r="T24" s="255"/>
      <c r="U24" s="255"/>
      <c r="V24" s="226">
        <f t="shared" ref="V24:V25" si="13">(P24*R24*S24)+(T24*U24*P24*R24)</f>
        <v>0</v>
      </c>
      <c r="W24" s="227">
        <v>0.09</v>
      </c>
      <c r="X24" s="228">
        <f t="shared" ref="X24:X25" si="14">V24/(1-W24)</f>
        <v>0</v>
      </c>
      <c r="Y24" s="226">
        <v>0.0</v>
      </c>
      <c r="Z24" s="227">
        <v>0.09</v>
      </c>
      <c r="AA24" s="228">
        <f t="shared" ref="AA24:AA25" si="15">Y24/(1-Z24)</f>
        <v>0</v>
      </c>
    </row>
    <row r="25" ht="15.75" customHeight="1">
      <c r="A25" s="256"/>
      <c r="B25" s="253" t="s">
        <v>46</v>
      </c>
      <c r="C25" s="124"/>
      <c r="D25" s="125"/>
      <c r="E25" s="254">
        <v>1.0</v>
      </c>
      <c r="F25" s="249" t="s">
        <v>45</v>
      </c>
      <c r="G25" s="255">
        <v>1.0</v>
      </c>
      <c r="H25" s="255"/>
      <c r="I25" s="255"/>
      <c r="J25" s="255"/>
      <c r="K25" s="226">
        <f t="shared" si="11"/>
        <v>0</v>
      </c>
      <c r="L25" s="227">
        <v>0.09</v>
      </c>
      <c r="M25" s="228">
        <f t="shared" si="12"/>
        <v>0</v>
      </c>
      <c r="N25" s="231"/>
      <c r="O25" s="53"/>
      <c r="P25" s="254">
        <v>1.0</v>
      </c>
      <c r="Q25" s="249" t="s">
        <v>45</v>
      </c>
      <c r="R25" s="255">
        <v>1.0</v>
      </c>
      <c r="S25" s="255"/>
      <c r="T25" s="255"/>
      <c r="U25" s="255"/>
      <c r="V25" s="226">
        <f t="shared" si="13"/>
        <v>0</v>
      </c>
      <c r="W25" s="227">
        <v>0.09</v>
      </c>
      <c r="X25" s="228">
        <f t="shared" si="14"/>
        <v>0</v>
      </c>
      <c r="Y25" s="226">
        <v>0.0</v>
      </c>
      <c r="Z25" s="227">
        <v>0.09</v>
      </c>
      <c r="AA25" s="228">
        <f t="shared" si="15"/>
        <v>0</v>
      </c>
    </row>
    <row r="26" ht="15.75" customHeight="1">
      <c r="A26" s="247"/>
      <c r="B26" s="105" t="s">
        <v>47</v>
      </c>
      <c r="C26" s="99"/>
      <c r="D26" s="100"/>
      <c r="E26" s="101"/>
      <c r="F26" s="102"/>
      <c r="G26" s="103"/>
      <c r="H26" s="103"/>
      <c r="I26" s="103"/>
      <c r="J26" s="103"/>
      <c r="K26" s="103"/>
      <c r="L26" s="103"/>
      <c r="M26" s="104"/>
      <c r="N26" s="257"/>
      <c r="O26" s="53"/>
      <c r="P26" s="102"/>
      <c r="Q26" s="102"/>
      <c r="R26" s="103"/>
      <c r="S26" s="103"/>
      <c r="T26" s="103"/>
      <c r="U26" s="103"/>
      <c r="V26" s="103"/>
      <c r="W26" s="103"/>
      <c r="X26" s="104"/>
      <c r="Y26" s="103"/>
      <c r="Z26" s="103"/>
      <c r="AA26" s="104"/>
    </row>
    <row r="27" ht="15.75" customHeight="1">
      <c r="A27" s="233"/>
      <c r="B27" s="248" t="s">
        <v>48</v>
      </c>
      <c r="C27" s="110"/>
      <c r="D27" s="111"/>
      <c r="E27" s="249">
        <v>1.0</v>
      </c>
      <c r="F27" s="249" t="s">
        <v>49</v>
      </c>
      <c r="G27" s="250">
        <v>1.0</v>
      </c>
      <c r="H27" s="250"/>
      <c r="I27" s="250"/>
      <c r="J27" s="250"/>
      <c r="K27" s="226">
        <f t="shared" ref="K27:K29" si="16">(E27*G27*H27)+(I27*J27*E27*G27)</f>
        <v>0</v>
      </c>
      <c r="L27" s="227">
        <v>0.09</v>
      </c>
      <c r="M27" s="228">
        <f t="shared" ref="M27:M29" si="17">K27/(1-L27)</f>
        <v>0</v>
      </c>
      <c r="N27" s="231"/>
      <c r="O27" s="53"/>
      <c r="P27" s="249">
        <v>1.0</v>
      </c>
      <c r="Q27" s="249" t="s">
        <v>49</v>
      </c>
      <c r="R27" s="250">
        <v>1.0</v>
      </c>
      <c r="S27" s="250"/>
      <c r="T27" s="250"/>
      <c r="U27" s="250"/>
      <c r="V27" s="226">
        <f t="shared" ref="V27:V29" si="18">(P27*R27*S27)+(T27*U27*P27*R27)</f>
        <v>0</v>
      </c>
      <c r="W27" s="227">
        <v>0.09</v>
      </c>
      <c r="X27" s="228">
        <f t="shared" ref="X27:X29" si="19">V27/(1-W27)</f>
        <v>0</v>
      </c>
      <c r="Y27" s="226">
        <v>0.0</v>
      </c>
      <c r="Z27" s="227">
        <v>0.09</v>
      </c>
      <c r="AA27" s="228">
        <f t="shared" ref="AA27:AA29" si="20">Y27/(1-Z27)</f>
        <v>0</v>
      </c>
    </row>
    <row r="28" ht="15.75" customHeight="1">
      <c r="A28" s="233"/>
      <c r="B28" s="217" t="s">
        <v>50</v>
      </c>
      <c r="C28" s="116"/>
      <c r="D28" s="117"/>
      <c r="E28" s="251">
        <v>1.0</v>
      </c>
      <c r="F28" s="251" t="s">
        <v>49</v>
      </c>
      <c r="G28" s="226">
        <v>1.0</v>
      </c>
      <c r="H28" s="226"/>
      <c r="I28" s="226"/>
      <c r="J28" s="226"/>
      <c r="K28" s="226">
        <f t="shared" si="16"/>
        <v>0</v>
      </c>
      <c r="L28" s="227">
        <v>0.09</v>
      </c>
      <c r="M28" s="228">
        <f t="shared" si="17"/>
        <v>0</v>
      </c>
      <c r="N28" s="231"/>
      <c r="O28" s="53"/>
      <c r="P28" s="251">
        <v>1.0</v>
      </c>
      <c r="Q28" s="251" t="s">
        <v>49</v>
      </c>
      <c r="R28" s="226">
        <v>1.0</v>
      </c>
      <c r="S28" s="226"/>
      <c r="T28" s="226"/>
      <c r="U28" s="226"/>
      <c r="V28" s="226">
        <f t="shared" si="18"/>
        <v>0</v>
      </c>
      <c r="W28" s="227">
        <v>0.09</v>
      </c>
      <c r="X28" s="228">
        <f t="shared" si="19"/>
        <v>0</v>
      </c>
      <c r="Y28" s="226">
        <v>0.0</v>
      </c>
      <c r="Z28" s="227">
        <v>0.09</v>
      </c>
      <c r="AA28" s="228">
        <f t="shared" si="20"/>
        <v>0</v>
      </c>
    </row>
    <row r="29" ht="15.75" customHeight="1">
      <c r="A29" s="233"/>
      <c r="B29" s="258" t="s">
        <v>51</v>
      </c>
      <c r="C29" s="63"/>
      <c r="D29" s="64"/>
      <c r="E29" s="259">
        <v>1.0</v>
      </c>
      <c r="F29" s="259" t="s">
        <v>49</v>
      </c>
      <c r="G29" s="260">
        <v>1.0</v>
      </c>
      <c r="H29" s="260"/>
      <c r="I29" s="260"/>
      <c r="J29" s="260"/>
      <c r="K29" s="226">
        <f t="shared" si="16"/>
        <v>0</v>
      </c>
      <c r="L29" s="227">
        <v>0.09</v>
      </c>
      <c r="M29" s="228">
        <f t="shared" si="17"/>
        <v>0</v>
      </c>
      <c r="N29" s="231"/>
      <c r="O29" s="53"/>
      <c r="P29" s="259">
        <v>1.0</v>
      </c>
      <c r="Q29" s="259" t="s">
        <v>49</v>
      </c>
      <c r="R29" s="260">
        <v>1.0</v>
      </c>
      <c r="S29" s="260"/>
      <c r="T29" s="260"/>
      <c r="U29" s="260"/>
      <c r="V29" s="226">
        <f t="shared" si="18"/>
        <v>0</v>
      </c>
      <c r="W29" s="227">
        <v>0.09</v>
      </c>
      <c r="X29" s="228">
        <f t="shared" si="19"/>
        <v>0</v>
      </c>
      <c r="Y29" s="226">
        <v>0.0</v>
      </c>
      <c r="Z29" s="227">
        <v>0.09</v>
      </c>
      <c r="AA29" s="228">
        <f t="shared" si="20"/>
        <v>0</v>
      </c>
    </row>
    <row r="30" ht="15.75" customHeight="1">
      <c r="A30" s="247"/>
      <c r="B30" s="105" t="s">
        <v>52</v>
      </c>
      <c r="C30" s="99"/>
      <c r="D30" s="100"/>
      <c r="E30" s="101"/>
      <c r="F30" s="102"/>
      <c r="G30" s="103"/>
      <c r="H30" s="103"/>
      <c r="I30" s="103"/>
      <c r="J30" s="103"/>
      <c r="K30" s="103"/>
      <c r="L30" s="103"/>
      <c r="M30" s="104"/>
      <c r="N30" s="257"/>
      <c r="O30" s="53"/>
      <c r="P30" s="102"/>
      <c r="Q30" s="102"/>
      <c r="R30" s="103"/>
      <c r="S30" s="103"/>
      <c r="T30" s="103"/>
      <c r="U30" s="103"/>
      <c r="V30" s="103"/>
      <c r="W30" s="103"/>
      <c r="X30" s="104"/>
      <c r="Y30" s="103"/>
      <c r="Z30" s="103"/>
      <c r="AA30" s="104"/>
    </row>
    <row r="31" ht="15.75" customHeight="1">
      <c r="A31" s="229"/>
      <c r="B31" s="217" t="s">
        <v>53</v>
      </c>
      <c r="C31" s="116"/>
      <c r="D31" s="117"/>
      <c r="E31" s="249">
        <v>1.0</v>
      </c>
      <c r="F31" s="249" t="s">
        <v>54</v>
      </c>
      <c r="G31" s="250">
        <v>1.0</v>
      </c>
      <c r="H31" s="250"/>
      <c r="I31" s="250"/>
      <c r="J31" s="250"/>
      <c r="K31" s="226">
        <f t="shared" ref="K31:K42" si="21">(E31*G31*H31)+(I31*J31*E31*G31)</f>
        <v>0</v>
      </c>
      <c r="L31" s="227">
        <v>0.09</v>
      </c>
      <c r="M31" s="228">
        <f t="shared" ref="M31:M42" si="22">K31/(1-L31)</f>
        <v>0</v>
      </c>
      <c r="N31" s="231"/>
      <c r="O31" s="53"/>
      <c r="P31" s="249">
        <v>1.0</v>
      </c>
      <c r="Q31" s="249" t="s">
        <v>54</v>
      </c>
      <c r="R31" s="250">
        <v>1.0</v>
      </c>
      <c r="S31" s="250"/>
      <c r="T31" s="250"/>
      <c r="U31" s="250"/>
      <c r="V31" s="226">
        <f t="shared" ref="V31:V42" si="23">(P31*R31*S31)+(T31*U31*P31*R31)</f>
        <v>0</v>
      </c>
      <c r="W31" s="227">
        <v>0.09</v>
      </c>
      <c r="X31" s="228">
        <f t="shared" ref="X31:X42" si="24">V31/(1-W31)</f>
        <v>0</v>
      </c>
      <c r="Y31" s="226">
        <v>0.0</v>
      </c>
      <c r="Z31" s="227">
        <v>0.09</v>
      </c>
      <c r="AA31" s="228">
        <f t="shared" ref="AA31:AA42" si="25">Y31/(1-Z31)</f>
        <v>0</v>
      </c>
    </row>
    <row r="32" ht="15.75" customHeight="1">
      <c r="A32" s="233"/>
      <c r="B32" s="217" t="s">
        <v>55</v>
      </c>
      <c r="C32" s="116"/>
      <c r="D32" s="117"/>
      <c r="E32" s="249">
        <v>1.0</v>
      </c>
      <c r="F32" s="249" t="s">
        <v>56</v>
      </c>
      <c r="G32" s="250">
        <v>1.0</v>
      </c>
      <c r="H32" s="250"/>
      <c r="I32" s="250"/>
      <c r="J32" s="250"/>
      <c r="K32" s="226">
        <f t="shared" si="21"/>
        <v>0</v>
      </c>
      <c r="L32" s="227">
        <v>0.09</v>
      </c>
      <c r="M32" s="228">
        <f t="shared" si="22"/>
        <v>0</v>
      </c>
      <c r="N32" s="231"/>
      <c r="O32" s="53"/>
      <c r="P32" s="249">
        <v>1.0</v>
      </c>
      <c r="Q32" s="249" t="s">
        <v>56</v>
      </c>
      <c r="R32" s="250">
        <v>1.0</v>
      </c>
      <c r="S32" s="250"/>
      <c r="T32" s="250"/>
      <c r="U32" s="250"/>
      <c r="V32" s="226">
        <f t="shared" si="23"/>
        <v>0</v>
      </c>
      <c r="W32" s="227">
        <v>0.09</v>
      </c>
      <c r="X32" s="228">
        <f t="shared" si="24"/>
        <v>0</v>
      </c>
      <c r="Y32" s="226">
        <v>0.0</v>
      </c>
      <c r="Z32" s="227">
        <v>0.09</v>
      </c>
      <c r="AA32" s="228">
        <f t="shared" si="25"/>
        <v>0</v>
      </c>
    </row>
    <row r="33" ht="15.75" customHeight="1">
      <c r="A33" s="229"/>
      <c r="B33" s="217" t="s">
        <v>57</v>
      </c>
      <c r="C33" s="116"/>
      <c r="D33" s="117"/>
      <c r="E33" s="251">
        <v>1.0</v>
      </c>
      <c r="F33" s="251" t="s">
        <v>27</v>
      </c>
      <c r="G33" s="226">
        <v>1.0</v>
      </c>
      <c r="H33" s="226"/>
      <c r="I33" s="226"/>
      <c r="J33" s="226"/>
      <c r="K33" s="226">
        <f t="shared" si="21"/>
        <v>0</v>
      </c>
      <c r="L33" s="227">
        <v>0.09</v>
      </c>
      <c r="M33" s="228">
        <f t="shared" si="22"/>
        <v>0</v>
      </c>
      <c r="N33" s="231"/>
      <c r="O33" s="53"/>
      <c r="P33" s="251">
        <v>1.0</v>
      </c>
      <c r="Q33" s="251" t="s">
        <v>27</v>
      </c>
      <c r="R33" s="226">
        <v>1.0</v>
      </c>
      <c r="S33" s="226"/>
      <c r="T33" s="226"/>
      <c r="U33" s="226"/>
      <c r="V33" s="226">
        <f t="shared" si="23"/>
        <v>0</v>
      </c>
      <c r="W33" s="227">
        <v>0.09</v>
      </c>
      <c r="X33" s="228">
        <f t="shared" si="24"/>
        <v>0</v>
      </c>
      <c r="Y33" s="226">
        <v>0.0</v>
      </c>
      <c r="Z33" s="227">
        <v>0.09</v>
      </c>
      <c r="AA33" s="228">
        <f t="shared" si="25"/>
        <v>0</v>
      </c>
    </row>
    <row r="34" ht="15.75" customHeight="1">
      <c r="A34" s="229"/>
      <c r="B34" s="217" t="s">
        <v>58</v>
      </c>
      <c r="C34" s="116"/>
      <c r="D34" s="117"/>
      <c r="E34" s="251">
        <v>1.0</v>
      </c>
      <c r="F34" s="251" t="s">
        <v>27</v>
      </c>
      <c r="G34" s="226">
        <v>1.0</v>
      </c>
      <c r="H34" s="226"/>
      <c r="I34" s="260"/>
      <c r="J34" s="260"/>
      <c r="K34" s="226">
        <f t="shared" si="21"/>
        <v>0</v>
      </c>
      <c r="L34" s="227">
        <v>0.09</v>
      </c>
      <c r="M34" s="228">
        <f t="shared" si="22"/>
        <v>0</v>
      </c>
      <c r="N34" s="231"/>
      <c r="O34" s="53"/>
      <c r="P34" s="251">
        <v>1.0</v>
      </c>
      <c r="Q34" s="251" t="s">
        <v>27</v>
      </c>
      <c r="R34" s="226">
        <v>1.0</v>
      </c>
      <c r="S34" s="226"/>
      <c r="T34" s="260"/>
      <c r="U34" s="260"/>
      <c r="V34" s="226">
        <f t="shared" si="23"/>
        <v>0</v>
      </c>
      <c r="W34" s="227">
        <v>0.09</v>
      </c>
      <c r="X34" s="228">
        <f t="shared" si="24"/>
        <v>0</v>
      </c>
      <c r="Y34" s="226">
        <v>0.0</v>
      </c>
      <c r="Z34" s="227">
        <v>0.09</v>
      </c>
      <c r="AA34" s="228">
        <f t="shared" si="25"/>
        <v>0</v>
      </c>
    </row>
    <row r="35" ht="15.75" customHeight="1">
      <c r="A35" s="229"/>
      <c r="B35" s="217" t="s">
        <v>59</v>
      </c>
      <c r="C35" s="116"/>
      <c r="D35" s="117"/>
      <c r="E35" s="249">
        <v>1.0</v>
      </c>
      <c r="F35" s="251" t="s">
        <v>27</v>
      </c>
      <c r="G35" s="250">
        <v>1.0</v>
      </c>
      <c r="H35" s="250"/>
      <c r="I35" s="250"/>
      <c r="J35" s="250"/>
      <c r="K35" s="226">
        <f t="shared" si="21"/>
        <v>0</v>
      </c>
      <c r="L35" s="227">
        <v>0.09</v>
      </c>
      <c r="M35" s="228">
        <f t="shared" si="22"/>
        <v>0</v>
      </c>
      <c r="N35" s="231"/>
      <c r="O35" s="53"/>
      <c r="P35" s="249">
        <v>1.0</v>
      </c>
      <c r="Q35" s="251" t="s">
        <v>27</v>
      </c>
      <c r="R35" s="250">
        <v>1.0</v>
      </c>
      <c r="S35" s="250"/>
      <c r="T35" s="250"/>
      <c r="U35" s="250"/>
      <c r="V35" s="226">
        <f t="shared" si="23"/>
        <v>0</v>
      </c>
      <c r="W35" s="227">
        <v>0.09</v>
      </c>
      <c r="X35" s="228">
        <f t="shared" si="24"/>
        <v>0</v>
      </c>
      <c r="Y35" s="226">
        <v>0.0</v>
      </c>
      <c r="Z35" s="227">
        <v>0.09</v>
      </c>
      <c r="AA35" s="228">
        <f t="shared" si="25"/>
        <v>0</v>
      </c>
    </row>
    <row r="36" ht="15.75" customHeight="1">
      <c r="A36" s="229"/>
      <c r="B36" s="261" t="s">
        <v>60</v>
      </c>
      <c r="C36" s="135"/>
      <c r="D36" s="39"/>
      <c r="E36" s="249">
        <v>1.0</v>
      </c>
      <c r="F36" s="251" t="s">
        <v>27</v>
      </c>
      <c r="G36" s="250">
        <v>1.0</v>
      </c>
      <c r="H36" s="250"/>
      <c r="I36" s="250"/>
      <c r="J36" s="250"/>
      <c r="K36" s="226">
        <f t="shared" si="21"/>
        <v>0</v>
      </c>
      <c r="L36" s="227">
        <v>0.09</v>
      </c>
      <c r="M36" s="228">
        <f t="shared" si="22"/>
        <v>0</v>
      </c>
      <c r="N36" s="231"/>
      <c r="O36" s="53"/>
      <c r="P36" s="249">
        <v>1.0</v>
      </c>
      <c r="Q36" s="251" t="s">
        <v>27</v>
      </c>
      <c r="R36" s="250">
        <v>1.0</v>
      </c>
      <c r="S36" s="250"/>
      <c r="T36" s="250"/>
      <c r="U36" s="250"/>
      <c r="V36" s="226">
        <f t="shared" si="23"/>
        <v>0</v>
      </c>
      <c r="W36" s="227">
        <v>0.09</v>
      </c>
      <c r="X36" s="228">
        <f t="shared" si="24"/>
        <v>0</v>
      </c>
      <c r="Y36" s="226">
        <v>0.0</v>
      </c>
      <c r="Z36" s="227">
        <v>0.09</v>
      </c>
      <c r="AA36" s="228">
        <f t="shared" si="25"/>
        <v>0</v>
      </c>
    </row>
    <row r="37" ht="15.75" customHeight="1">
      <c r="A37" s="229"/>
      <c r="B37" s="248" t="s">
        <v>61</v>
      </c>
      <c r="C37" s="110"/>
      <c r="D37" s="111"/>
      <c r="E37" s="249">
        <v>1.0</v>
      </c>
      <c r="F37" s="251" t="s">
        <v>27</v>
      </c>
      <c r="G37" s="250">
        <v>1.0</v>
      </c>
      <c r="H37" s="250"/>
      <c r="I37" s="250"/>
      <c r="J37" s="250"/>
      <c r="K37" s="226">
        <f t="shared" si="21"/>
        <v>0</v>
      </c>
      <c r="L37" s="227">
        <v>0.09</v>
      </c>
      <c r="M37" s="228">
        <f t="shared" si="22"/>
        <v>0</v>
      </c>
      <c r="N37" s="231"/>
      <c r="O37" s="53"/>
      <c r="P37" s="249">
        <v>1.0</v>
      </c>
      <c r="Q37" s="251" t="s">
        <v>27</v>
      </c>
      <c r="R37" s="250">
        <v>1.0</v>
      </c>
      <c r="S37" s="250"/>
      <c r="T37" s="250"/>
      <c r="U37" s="250"/>
      <c r="V37" s="226">
        <f t="shared" si="23"/>
        <v>0</v>
      </c>
      <c r="W37" s="227">
        <v>0.09</v>
      </c>
      <c r="X37" s="228">
        <f t="shared" si="24"/>
        <v>0</v>
      </c>
      <c r="Y37" s="226">
        <v>0.0</v>
      </c>
      <c r="Z37" s="227">
        <v>0.09</v>
      </c>
      <c r="AA37" s="228">
        <f t="shared" si="25"/>
        <v>0</v>
      </c>
    </row>
    <row r="38" ht="15.75" customHeight="1">
      <c r="A38" s="229"/>
      <c r="B38" s="248" t="s">
        <v>62</v>
      </c>
      <c r="C38" s="110"/>
      <c r="D38" s="111"/>
      <c r="E38" s="249">
        <v>1.0</v>
      </c>
      <c r="F38" s="251" t="s">
        <v>27</v>
      </c>
      <c r="G38" s="250">
        <v>1.0</v>
      </c>
      <c r="H38" s="250"/>
      <c r="I38" s="250"/>
      <c r="J38" s="250"/>
      <c r="K38" s="226">
        <f t="shared" si="21"/>
        <v>0</v>
      </c>
      <c r="L38" s="227">
        <v>0.09</v>
      </c>
      <c r="M38" s="228">
        <f t="shared" si="22"/>
        <v>0</v>
      </c>
      <c r="N38" s="231"/>
      <c r="O38" s="53"/>
      <c r="P38" s="249">
        <v>1.0</v>
      </c>
      <c r="Q38" s="251" t="s">
        <v>27</v>
      </c>
      <c r="R38" s="250">
        <v>1.0</v>
      </c>
      <c r="S38" s="250"/>
      <c r="T38" s="250"/>
      <c r="U38" s="250"/>
      <c r="V38" s="226">
        <f t="shared" si="23"/>
        <v>0</v>
      </c>
      <c r="W38" s="227">
        <v>0.09</v>
      </c>
      <c r="X38" s="228">
        <f t="shared" si="24"/>
        <v>0</v>
      </c>
      <c r="Y38" s="226">
        <v>0.0</v>
      </c>
      <c r="Z38" s="227">
        <v>0.09</v>
      </c>
      <c r="AA38" s="228">
        <f t="shared" si="25"/>
        <v>0</v>
      </c>
    </row>
    <row r="39" ht="15.75" customHeight="1">
      <c r="A39" s="229"/>
      <c r="B39" s="248" t="s">
        <v>63</v>
      </c>
      <c r="C39" s="110"/>
      <c r="D39" s="111"/>
      <c r="E39" s="249">
        <v>1.0</v>
      </c>
      <c r="F39" s="251" t="s">
        <v>27</v>
      </c>
      <c r="G39" s="250">
        <v>1.0</v>
      </c>
      <c r="H39" s="250"/>
      <c r="I39" s="250"/>
      <c r="J39" s="250"/>
      <c r="K39" s="226">
        <f t="shared" si="21"/>
        <v>0</v>
      </c>
      <c r="L39" s="227">
        <v>0.09</v>
      </c>
      <c r="M39" s="228">
        <f t="shared" si="22"/>
        <v>0</v>
      </c>
      <c r="N39" s="231"/>
      <c r="O39" s="53"/>
      <c r="P39" s="249">
        <v>1.0</v>
      </c>
      <c r="Q39" s="251" t="s">
        <v>27</v>
      </c>
      <c r="R39" s="250">
        <v>1.0</v>
      </c>
      <c r="S39" s="250"/>
      <c r="T39" s="250"/>
      <c r="U39" s="250"/>
      <c r="V39" s="226">
        <f t="shared" si="23"/>
        <v>0</v>
      </c>
      <c r="W39" s="227">
        <v>0.09</v>
      </c>
      <c r="X39" s="228">
        <f t="shared" si="24"/>
        <v>0</v>
      </c>
      <c r="Y39" s="226">
        <v>0.0</v>
      </c>
      <c r="Z39" s="227">
        <v>0.09</v>
      </c>
      <c r="AA39" s="228">
        <f t="shared" si="25"/>
        <v>0</v>
      </c>
    </row>
    <row r="40" ht="15.75" customHeight="1">
      <c r="A40" s="229"/>
      <c r="B40" s="248" t="s">
        <v>64</v>
      </c>
      <c r="C40" s="110"/>
      <c r="D40" s="111"/>
      <c r="E40" s="249">
        <v>1.0</v>
      </c>
      <c r="F40" s="251" t="s">
        <v>27</v>
      </c>
      <c r="G40" s="250">
        <v>1.0</v>
      </c>
      <c r="H40" s="250"/>
      <c r="I40" s="250"/>
      <c r="J40" s="250"/>
      <c r="K40" s="226">
        <f t="shared" si="21"/>
        <v>0</v>
      </c>
      <c r="L40" s="227">
        <v>0.09</v>
      </c>
      <c r="M40" s="228">
        <f t="shared" si="22"/>
        <v>0</v>
      </c>
      <c r="N40" s="231"/>
      <c r="O40" s="53"/>
      <c r="P40" s="249">
        <v>1.0</v>
      </c>
      <c r="Q40" s="251" t="s">
        <v>27</v>
      </c>
      <c r="R40" s="250">
        <v>1.0</v>
      </c>
      <c r="S40" s="250"/>
      <c r="T40" s="250"/>
      <c r="U40" s="250"/>
      <c r="V40" s="226">
        <f t="shared" si="23"/>
        <v>0</v>
      </c>
      <c r="W40" s="227">
        <v>0.09</v>
      </c>
      <c r="X40" s="228">
        <f t="shared" si="24"/>
        <v>0</v>
      </c>
      <c r="Y40" s="226">
        <v>0.0</v>
      </c>
      <c r="Z40" s="227">
        <v>0.09</v>
      </c>
      <c r="AA40" s="228">
        <f t="shared" si="25"/>
        <v>0</v>
      </c>
    </row>
    <row r="41" ht="15.75" customHeight="1">
      <c r="A41" s="229"/>
      <c r="B41" s="248" t="s">
        <v>65</v>
      </c>
      <c r="C41" s="110"/>
      <c r="D41" s="111"/>
      <c r="E41" s="249">
        <v>1.0</v>
      </c>
      <c r="F41" s="251" t="s">
        <v>27</v>
      </c>
      <c r="G41" s="250">
        <v>1.0</v>
      </c>
      <c r="H41" s="250"/>
      <c r="I41" s="250"/>
      <c r="J41" s="250"/>
      <c r="K41" s="226">
        <f t="shared" si="21"/>
        <v>0</v>
      </c>
      <c r="L41" s="227">
        <v>0.09</v>
      </c>
      <c r="M41" s="228">
        <f t="shared" si="22"/>
        <v>0</v>
      </c>
      <c r="N41" s="231"/>
      <c r="O41" s="53"/>
      <c r="P41" s="249">
        <v>1.0</v>
      </c>
      <c r="Q41" s="251" t="s">
        <v>27</v>
      </c>
      <c r="R41" s="250">
        <v>1.0</v>
      </c>
      <c r="S41" s="250"/>
      <c r="T41" s="250"/>
      <c r="U41" s="250"/>
      <c r="V41" s="226">
        <f t="shared" si="23"/>
        <v>0</v>
      </c>
      <c r="W41" s="227">
        <v>0.09</v>
      </c>
      <c r="X41" s="228">
        <f t="shared" si="24"/>
        <v>0</v>
      </c>
      <c r="Y41" s="226">
        <v>0.0</v>
      </c>
      <c r="Z41" s="227">
        <v>0.09</v>
      </c>
      <c r="AA41" s="228">
        <f t="shared" si="25"/>
        <v>0</v>
      </c>
    </row>
    <row r="42" ht="15.75" customHeight="1">
      <c r="A42" s="229"/>
      <c r="B42" s="248" t="s">
        <v>66</v>
      </c>
      <c r="C42" s="110"/>
      <c r="D42" s="111"/>
      <c r="E42" s="249">
        <v>1.0</v>
      </c>
      <c r="F42" s="251" t="s">
        <v>27</v>
      </c>
      <c r="G42" s="250">
        <v>1.0</v>
      </c>
      <c r="H42" s="250"/>
      <c r="I42" s="250"/>
      <c r="J42" s="250"/>
      <c r="K42" s="226">
        <f t="shared" si="21"/>
        <v>0</v>
      </c>
      <c r="L42" s="227">
        <v>0.09</v>
      </c>
      <c r="M42" s="228">
        <f t="shared" si="22"/>
        <v>0</v>
      </c>
      <c r="N42" s="231"/>
      <c r="O42" s="53"/>
      <c r="P42" s="249">
        <v>1.0</v>
      </c>
      <c r="Q42" s="251" t="s">
        <v>27</v>
      </c>
      <c r="R42" s="250">
        <v>1.0</v>
      </c>
      <c r="S42" s="250"/>
      <c r="T42" s="250"/>
      <c r="U42" s="250"/>
      <c r="V42" s="226">
        <f t="shared" si="23"/>
        <v>0</v>
      </c>
      <c r="W42" s="227">
        <v>0.09</v>
      </c>
      <c r="X42" s="228">
        <f t="shared" si="24"/>
        <v>0</v>
      </c>
      <c r="Y42" s="226">
        <v>0.0</v>
      </c>
      <c r="Z42" s="227">
        <v>0.09</v>
      </c>
      <c r="AA42" s="228">
        <f t="shared" si="25"/>
        <v>0</v>
      </c>
    </row>
    <row r="43" ht="15.75" customHeight="1">
      <c r="A43" s="229"/>
      <c r="B43" s="262" t="s">
        <v>67</v>
      </c>
      <c r="C43" s="137"/>
      <c r="D43" s="138"/>
      <c r="E43" s="101"/>
      <c r="F43" s="102"/>
      <c r="G43" s="103"/>
      <c r="H43" s="103"/>
      <c r="I43" s="103"/>
      <c r="J43" s="103"/>
      <c r="K43" s="103"/>
      <c r="L43" s="103"/>
      <c r="M43" s="104"/>
      <c r="N43" s="257"/>
      <c r="O43" s="53"/>
      <c r="P43" s="102"/>
      <c r="Q43" s="102"/>
      <c r="R43" s="103"/>
      <c r="S43" s="103"/>
      <c r="T43" s="103"/>
      <c r="U43" s="103"/>
      <c r="V43" s="103"/>
      <c r="W43" s="103"/>
      <c r="X43" s="104"/>
      <c r="Y43" s="103"/>
      <c r="Z43" s="103"/>
      <c r="AA43" s="104"/>
    </row>
    <row r="44" ht="15.75" customHeight="1">
      <c r="A44" s="229"/>
      <c r="B44" s="139" t="s">
        <v>68</v>
      </c>
      <c r="C44" s="116"/>
      <c r="D44" s="117"/>
      <c r="E44" s="249">
        <v>1.0</v>
      </c>
      <c r="F44" s="251" t="s">
        <v>27</v>
      </c>
      <c r="G44" s="250">
        <v>1.0</v>
      </c>
      <c r="H44" s="250"/>
      <c r="I44" s="250"/>
      <c r="J44" s="250"/>
      <c r="K44" s="226">
        <f t="shared" ref="K44:K52" si="26">(E44*G44*H44)+(I44*J44*E44*G44)</f>
        <v>0</v>
      </c>
      <c r="L44" s="227">
        <v>0.09</v>
      </c>
      <c r="M44" s="228">
        <f t="shared" ref="M44:M52" si="27">K44/(1-L44)</f>
        <v>0</v>
      </c>
      <c r="N44" s="231"/>
      <c r="O44" s="53"/>
      <c r="P44" s="249">
        <v>1.0</v>
      </c>
      <c r="Q44" s="251" t="s">
        <v>27</v>
      </c>
      <c r="R44" s="250">
        <v>1.0</v>
      </c>
      <c r="S44" s="250"/>
      <c r="T44" s="250"/>
      <c r="U44" s="250"/>
      <c r="V44" s="226">
        <f t="shared" ref="V44:V52" si="28">(P44*R44*S44)+(T44*U44*P44*R44)</f>
        <v>0</v>
      </c>
      <c r="W44" s="227">
        <v>0.09</v>
      </c>
      <c r="X44" s="228">
        <f t="shared" ref="X44:X52" si="29">V44/(1-W44)</f>
        <v>0</v>
      </c>
      <c r="Y44" s="226">
        <v>0.0</v>
      </c>
      <c r="Z44" s="227">
        <v>0.09</v>
      </c>
      <c r="AA44" s="228">
        <f t="shared" ref="AA44:AA52" si="30">Y44/(1-Z44)</f>
        <v>0</v>
      </c>
    </row>
    <row r="45" ht="15.75" customHeight="1">
      <c r="A45" s="229"/>
      <c r="B45" s="139" t="s">
        <v>69</v>
      </c>
      <c r="C45" s="116"/>
      <c r="D45" s="117"/>
      <c r="E45" s="249">
        <v>1.0</v>
      </c>
      <c r="F45" s="251" t="s">
        <v>27</v>
      </c>
      <c r="G45" s="250">
        <v>1.0</v>
      </c>
      <c r="H45" s="250"/>
      <c r="I45" s="250"/>
      <c r="J45" s="250"/>
      <c r="K45" s="226">
        <f t="shared" si="26"/>
        <v>0</v>
      </c>
      <c r="L45" s="227">
        <v>0.09</v>
      </c>
      <c r="M45" s="228">
        <f t="shared" si="27"/>
        <v>0</v>
      </c>
      <c r="N45" s="231"/>
      <c r="O45" s="53"/>
      <c r="P45" s="249">
        <v>1.0</v>
      </c>
      <c r="Q45" s="251" t="s">
        <v>27</v>
      </c>
      <c r="R45" s="250">
        <v>1.0</v>
      </c>
      <c r="S45" s="250"/>
      <c r="T45" s="250"/>
      <c r="U45" s="250"/>
      <c r="V45" s="226">
        <f t="shared" si="28"/>
        <v>0</v>
      </c>
      <c r="W45" s="227">
        <v>0.09</v>
      </c>
      <c r="X45" s="228">
        <f t="shared" si="29"/>
        <v>0</v>
      </c>
      <c r="Y45" s="226">
        <v>0.0</v>
      </c>
      <c r="Z45" s="227">
        <v>0.09</v>
      </c>
      <c r="AA45" s="228">
        <f t="shared" si="30"/>
        <v>0</v>
      </c>
    </row>
    <row r="46" ht="15.75" customHeight="1">
      <c r="A46" s="229"/>
      <c r="B46" s="139" t="s">
        <v>70</v>
      </c>
      <c r="C46" s="116"/>
      <c r="D46" s="117"/>
      <c r="E46" s="249">
        <v>1.0</v>
      </c>
      <c r="F46" s="251" t="s">
        <v>27</v>
      </c>
      <c r="G46" s="250">
        <v>1.0</v>
      </c>
      <c r="H46" s="250"/>
      <c r="I46" s="250"/>
      <c r="J46" s="250"/>
      <c r="K46" s="226">
        <f t="shared" si="26"/>
        <v>0</v>
      </c>
      <c r="L46" s="227">
        <v>0.09</v>
      </c>
      <c r="M46" s="228">
        <f t="shared" si="27"/>
        <v>0</v>
      </c>
      <c r="N46" s="231"/>
      <c r="O46" s="53"/>
      <c r="P46" s="249">
        <v>1.0</v>
      </c>
      <c r="Q46" s="251" t="s">
        <v>27</v>
      </c>
      <c r="R46" s="250">
        <v>1.0</v>
      </c>
      <c r="S46" s="250"/>
      <c r="T46" s="250"/>
      <c r="U46" s="250"/>
      <c r="V46" s="226">
        <f t="shared" si="28"/>
        <v>0</v>
      </c>
      <c r="W46" s="227">
        <v>0.09</v>
      </c>
      <c r="X46" s="228">
        <f t="shared" si="29"/>
        <v>0</v>
      </c>
      <c r="Y46" s="226">
        <v>0.0</v>
      </c>
      <c r="Z46" s="227">
        <v>0.09</v>
      </c>
      <c r="AA46" s="228">
        <f t="shared" si="30"/>
        <v>0</v>
      </c>
    </row>
    <row r="47" ht="15.75" customHeight="1">
      <c r="A47" s="229"/>
      <c r="B47" s="139" t="s">
        <v>33</v>
      </c>
      <c r="C47" s="116"/>
      <c r="D47" s="117"/>
      <c r="E47" s="249">
        <v>1.0</v>
      </c>
      <c r="F47" s="251" t="s">
        <v>27</v>
      </c>
      <c r="G47" s="250">
        <v>1.0</v>
      </c>
      <c r="H47" s="250"/>
      <c r="I47" s="250"/>
      <c r="J47" s="250"/>
      <c r="K47" s="226">
        <f t="shared" si="26"/>
        <v>0</v>
      </c>
      <c r="L47" s="227">
        <v>0.09</v>
      </c>
      <c r="M47" s="228">
        <f t="shared" si="27"/>
        <v>0</v>
      </c>
      <c r="N47" s="231"/>
      <c r="O47" s="53"/>
      <c r="P47" s="249">
        <v>1.0</v>
      </c>
      <c r="Q47" s="251" t="s">
        <v>27</v>
      </c>
      <c r="R47" s="250">
        <v>1.0</v>
      </c>
      <c r="S47" s="250"/>
      <c r="T47" s="250"/>
      <c r="U47" s="250"/>
      <c r="V47" s="226">
        <f t="shared" si="28"/>
        <v>0</v>
      </c>
      <c r="W47" s="227">
        <v>0.09</v>
      </c>
      <c r="X47" s="228">
        <f t="shared" si="29"/>
        <v>0</v>
      </c>
      <c r="Y47" s="226">
        <v>0.0</v>
      </c>
      <c r="Z47" s="227">
        <v>0.09</v>
      </c>
      <c r="AA47" s="228">
        <f t="shared" si="30"/>
        <v>0</v>
      </c>
    </row>
    <row r="48" ht="15.75" customHeight="1">
      <c r="A48" s="229"/>
      <c r="B48" s="139" t="s">
        <v>71</v>
      </c>
      <c r="C48" s="116"/>
      <c r="D48" s="117"/>
      <c r="E48" s="249">
        <v>1.0</v>
      </c>
      <c r="F48" s="251" t="s">
        <v>27</v>
      </c>
      <c r="G48" s="250">
        <v>1.0</v>
      </c>
      <c r="H48" s="250"/>
      <c r="I48" s="250"/>
      <c r="J48" s="250"/>
      <c r="K48" s="226">
        <f t="shared" si="26"/>
        <v>0</v>
      </c>
      <c r="L48" s="227">
        <v>0.09</v>
      </c>
      <c r="M48" s="228">
        <f t="shared" si="27"/>
        <v>0</v>
      </c>
      <c r="N48" s="231"/>
      <c r="O48" s="53"/>
      <c r="P48" s="249">
        <v>1.0</v>
      </c>
      <c r="Q48" s="251" t="s">
        <v>27</v>
      </c>
      <c r="R48" s="250">
        <v>1.0</v>
      </c>
      <c r="S48" s="250"/>
      <c r="T48" s="250"/>
      <c r="U48" s="250"/>
      <c r="V48" s="226">
        <f t="shared" si="28"/>
        <v>0</v>
      </c>
      <c r="W48" s="227">
        <v>0.09</v>
      </c>
      <c r="X48" s="228">
        <f t="shared" si="29"/>
        <v>0</v>
      </c>
      <c r="Y48" s="226">
        <v>0.0</v>
      </c>
      <c r="Z48" s="227">
        <v>0.09</v>
      </c>
      <c r="AA48" s="228">
        <f t="shared" si="30"/>
        <v>0</v>
      </c>
    </row>
    <row r="49" ht="15.75" customHeight="1">
      <c r="A49" s="229"/>
      <c r="B49" s="140" t="s">
        <v>72</v>
      </c>
      <c r="C49" s="135"/>
      <c r="D49" s="39"/>
      <c r="E49" s="249">
        <v>1.0</v>
      </c>
      <c r="F49" s="251" t="s">
        <v>27</v>
      </c>
      <c r="G49" s="263">
        <v>1.0</v>
      </c>
      <c r="H49" s="250"/>
      <c r="I49" s="250"/>
      <c r="J49" s="250"/>
      <c r="K49" s="226">
        <f t="shared" si="26"/>
        <v>0</v>
      </c>
      <c r="L49" s="227">
        <v>0.09</v>
      </c>
      <c r="M49" s="228">
        <f t="shared" si="27"/>
        <v>0</v>
      </c>
      <c r="N49" s="231"/>
      <c r="O49" s="53"/>
      <c r="P49" s="249">
        <v>1.0</v>
      </c>
      <c r="Q49" s="251" t="s">
        <v>27</v>
      </c>
      <c r="R49" s="263">
        <v>1.0</v>
      </c>
      <c r="S49" s="250"/>
      <c r="T49" s="250"/>
      <c r="U49" s="250"/>
      <c r="V49" s="226">
        <f t="shared" si="28"/>
        <v>0</v>
      </c>
      <c r="W49" s="227">
        <v>0.09</v>
      </c>
      <c r="X49" s="228">
        <f t="shared" si="29"/>
        <v>0</v>
      </c>
      <c r="Y49" s="226">
        <v>0.0</v>
      </c>
      <c r="Z49" s="227">
        <v>0.09</v>
      </c>
      <c r="AA49" s="228">
        <f t="shared" si="30"/>
        <v>0</v>
      </c>
    </row>
    <row r="50" ht="15.75" customHeight="1">
      <c r="A50" s="229"/>
      <c r="B50" s="141" t="s">
        <v>73</v>
      </c>
      <c r="C50" s="110"/>
      <c r="D50" s="111"/>
      <c r="E50" s="249">
        <v>1.0</v>
      </c>
      <c r="F50" s="251" t="s">
        <v>27</v>
      </c>
      <c r="G50" s="263">
        <v>1.0</v>
      </c>
      <c r="H50" s="250"/>
      <c r="I50" s="250"/>
      <c r="J50" s="250"/>
      <c r="K50" s="226">
        <f t="shared" si="26"/>
        <v>0</v>
      </c>
      <c r="L50" s="227">
        <v>0.09</v>
      </c>
      <c r="M50" s="228">
        <f t="shared" si="27"/>
        <v>0</v>
      </c>
      <c r="N50" s="231"/>
      <c r="O50" s="53"/>
      <c r="P50" s="249">
        <v>1.0</v>
      </c>
      <c r="Q50" s="251" t="s">
        <v>27</v>
      </c>
      <c r="R50" s="263">
        <v>1.0</v>
      </c>
      <c r="S50" s="250"/>
      <c r="T50" s="250"/>
      <c r="U50" s="250"/>
      <c r="V50" s="226">
        <f t="shared" si="28"/>
        <v>0</v>
      </c>
      <c r="W50" s="227">
        <v>0.09</v>
      </c>
      <c r="X50" s="228">
        <f t="shared" si="29"/>
        <v>0</v>
      </c>
      <c r="Y50" s="226">
        <v>0.0</v>
      </c>
      <c r="Z50" s="227">
        <v>0.09</v>
      </c>
      <c r="AA50" s="228">
        <f t="shared" si="30"/>
        <v>0</v>
      </c>
    </row>
    <row r="51" ht="15.75" customHeight="1">
      <c r="A51" s="229"/>
      <c r="B51" s="141" t="s">
        <v>65</v>
      </c>
      <c r="C51" s="110"/>
      <c r="D51" s="111"/>
      <c r="E51" s="249">
        <v>1.0</v>
      </c>
      <c r="F51" s="251" t="s">
        <v>27</v>
      </c>
      <c r="G51" s="250">
        <v>1.0</v>
      </c>
      <c r="H51" s="250"/>
      <c r="I51" s="250"/>
      <c r="J51" s="250"/>
      <c r="K51" s="226">
        <f t="shared" si="26"/>
        <v>0</v>
      </c>
      <c r="L51" s="227">
        <v>0.09</v>
      </c>
      <c r="M51" s="228">
        <f t="shared" si="27"/>
        <v>0</v>
      </c>
      <c r="N51" s="231"/>
      <c r="O51" s="53"/>
      <c r="P51" s="249">
        <v>1.0</v>
      </c>
      <c r="Q51" s="251" t="s">
        <v>27</v>
      </c>
      <c r="R51" s="250">
        <v>1.0</v>
      </c>
      <c r="S51" s="250"/>
      <c r="T51" s="250"/>
      <c r="U51" s="250"/>
      <c r="V51" s="226">
        <f t="shared" si="28"/>
        <v>0</v>
      </c>
      <c r="W51" s="227">
        <v>0.09</v>
      </c>
      <c r="X51" s="228">
        <f t="shared" si="29"/>
        <v>0</v>
      </c>
      <c r="Y51" s="226">
        <v>0.0</v>
      </c>
      <c r="Z51" s="227">
        <v>0.09</v>
      </c>
      <c r="AA51" s="228">
        <f t="shared" si="30"/>
        <v>0</v>
      </c>
    </row>
    <row r="52" ht="15.75" customHeight="1">
      <c r="A52" s="229"/>
      <c r="B52" s="141" t="s">
        <v>74</v>
      </c>
      <c r="C52" s="110"/>
      <c r="D52" s="111"/>
      <c r="E52" s="249">
        <v>1.0</v>
      </c>
      <c r="F52" s="251" t="s">
        <v>27</v>
      </c>
      <c r="G52" s="250">
        <v>1.0</v>
      </c>
      <c r="H52" s="250"/>
      <c r="I52" s="250"/>
      <c r="J52" s="250"/>
      <c r="K52" s="226">
        <f t="shared" si="26"/>
        <v>0</v>
      </c>
      <c r="L52" s="227">
        <v>0.09</v>
      </c>
      <c r="M52" s="228">
        <f t="shared" si="27"/>
        <v>0</v>
      </c>
      <c r="N52" s="231"/>
      <c r="O52" s="53"/>
      <c r="P52" s="249">
        <v>1.0</v>
      </c>
      <c r="Q52" s="251" t="s">
        <v>27</v>
      </c>
      <c r="R52" s="250">
        <v>1.0</v>
      </c>
      <c r="S52" s="250"/>
      <c r="T52" s="250"/>
      <c r="U52" s="250"/>
      <c r="V52" s="226">
        <f t="shared" si="28"/>
        <v>0</v>
      </c>
      <c r="W52" s="227">
        <v>0.09</v>
      </c>
      <c r="X52" s="228">
        <f t="shared" si="29"/>
        <v>0</v>
      </c>
      <c r="Y52" s="226">
        <v>0.0</v>
      </c>
      <c r="Z52" s="227">
        <v>0.09</v>
      </c>
      <c r="AA52" s="228">
        <f t="shared" si="30"/>
        <v>0</v>
      </c>
    </row>
    <row r="53" ht="15.75" customHeight="1">
      <c r="A53" s="247"/>
      <c r="B53" s="105" t="s">
        <v>75</v>
      </c>
      <c r="C53" s="99"/>
      <c r="D53" s="100"/>
      <c r="E53" s="101"/>
      <c r="F53" s="102"/>
      <c r="G53" s="103"/>
      <c r="H53" s="103"/>
      <c r="I53" s="103"/>
      <c r="J53" s="103"/>
      <c r="K53" s="103"/>
      <c r="L53" s="103"/>
      <c r="M53" s="104"/>
      <c r="N53" s="257"/>
      <c r="O53" s="53"/>
      <c r="P53" s="102"/>
      <c r="Q53" s="102"/>
      <c r="R53" s="103"/>
      <c r="S53" s="103"/>
      <c r="T53" s="103"/>
      <c r="U53" s="103"/>
      <c r="V53" s="103"/>
      <c r="W53" s="103"/>
      <c r="X53" s="104"/>
      <c r="Y53" s="103"/>
      <c r="Z53" s="103"/>
      <c r="AA53" s="104"/>
    </row>
    <row r="54" ht="15.75" customHeight="1">
      <c r="A54" s="233"/>
      <c r="B54" s="248" t="s">
        <v>76</v>
      </c>
      <c r="C54" s="110"/>
      <c r="D54" s="111"/>
      <c r="E54" s="249">
        <v>1.0</v>
      </c>
      <c r="F54" s="249" t="s">
        <v>54</v>
      </c>
      <c r="G54" s="250">
        <v>1.0</v>
      </c>
      <c r="H54" s="250"/>
      <c r="I54" s="250"/>
      <c r="J54" s="250"/>
      <c r="K54" s="226">
        <f t="shared" ref="K54:K58" si="31">(E54*G54*H54)+(I54*J54*E54*G54)</f>
        <v>0</v>
      </c>
      <c r="L54" s="227">
        <v>0.09</v>
      </c>
      <c r="M54" s="228">
        <f t="shared" ref="M54:M58" si="32">K54/(1-L54)</f>
        <v>0</v>
      </c>
      <c r="N54" s="231"/>
      <c r="O54" s="53"/>
      <c r="P54" s="249">
        <v>1.0</v>
      </c>
      <c r="Q54" s="249" t="s">
        <v>54</v>
      </c>
      <c r="R54" s="250">
        <v>1.0</v>
      </c>
      <c r="S54" s="250"/>
      <c r="T54" s="250"/>
      <c r="U54" s="250"/>
      <c r="V54" s="226">
        <f t="shared" ref="V54:V58" si="33">(P54*R54*S54)+(T54*U54*P54*R54)</f>
        <v>0</v>
      </c>
      <c r="W54" s="227">
        <v>0.09</v>
      </c>
      <c r="X54" s="228">
        <f t="shared" ref="X54:X58" si="34">V54/(1-W54)</f>
        <v>0</v>
      </c>
      <c r="Y54" s="226">
        <v>0.0</v>
      </c>
      <c r="Z54" s="227">
        <v>0.09</v>
      </c>
      <c r="AA54" s="228">
        <f t="shared" ref="AA54:AA58" si="35">Y54/(1-Z54)</f>
        <v>0</v>
      </c>
    </row>
    <row r="55" ht="15.75" customHeight="1">
      <c r="A55" s="233"/>
      <c r="B55" s="217" t="s">
        <v>77</v>
      </c>
      <c r="C55" s="116"/>
      <c r="D55" s="117"/>
      <c r="E55" s="251">
        <v>1.0</v>
      </c>
      <c r="F55" s="251" t="s">
        <v>27</v>
      </c>
      <c r="G55" s="226">
        <v>1.0</v>
      </c>
      <c r="H55" s="226"/>
      <c r="I55" s="226"/>
      <c r="J55" s="226"/>
      <c r="K55" s="226">
        <f t="shared" si="31"/>
        <v>0</v>
      </c>
      <c r="L55" s="227">
        <v>0.09</v>
      </c>
      <c r="M55" s="228">
        <f t="shared" si="32"/>
        <v>0</v>
      </c>
      <c r="N55" s="231"/>
      <c r="O55" s="53"/>
      <c r="P55" s="251">
        <v>1.0</v>
      </c>
      <c r="Q55" s="251" t="s">
        <v>27</v>
      </c>
      <c r="R55" s="226">
        <v>1.0</v>
      </c>
      <c r="S55" s="226"/>
      <c r="T55" s="226"/>
      <c r="U55" s="226"/>
      <c r="V55" s="226">
        <f t="shared" si="33"/>
        <v>0</v>
      </c>
      <c r="W55" s="227">
        <v>0.09</v>
      </c>
      <c r="X55" s="228">
        <f t="shared" si="34"/>
        <v>0</v>
      </c>
      <c r="Y55" s="226">
        <v>0.0</v>
      </c>
      <c r="Z55" s="227">
        <v>0.09</v>
      </c>
      <c r="AA55" s="228">
        <f t="shared" si="35"/>
        <v>0</v>
      </c>
    </row>
    <row r="56" ht="15.75" customHeight="1">
      <c r="A56" s="233"/>
      <c r="B56" s="217" t="s">
        <v>78</v>
      </c>
      <c r="C56" s="116"/>
      <c r="D56" s="117"/>
      <c r="E56" s="251">
        <v>1.0</v>
      </c>
      <c r="F56" s="251" t="s">
        <v>27</v>
      </c>
      <c r="G56" s="226">
        <v>1.0</v>
      </c>
      <c r="H56" s="226"/>
      <c r="I56" s="226"/>
      <c r="J56" s="226"/>
      <c r="K56" s="226">
        <f t="shared" si="31"/>
        <v>0</v>
      </c>
      <c r="L56" s="227">
        <v>0.09</v>
      </c>
      <c r="M56" s="228">
        <f t="shared" si="32"/>
        <v>0</v>
      </c>
      <c r="N56" s="231"/>
      <c r="O56" s="53"/>
      <c r="P56" s="251">
        <v>1.0</v>
      </c>
      <c r="Q56" s="251" t="s">
        <v>27</v>
      </c>
      <c r="R56" s="226">
        <v>1.0</v>
      </c>
      <c r="S56" s="226"/>
      <c r="T56" s="226"/>
      <c r="U56" s="226"/>
      <c r="V56" s="226">
        <f t="shared" si="33"/>
        <v>0</v>
      </c>
      <c r="W56" s="227">
        <v>0.09</v>
      </c>
      <c r="X56" s="228">
        <f t="shared" si="34"/>
        <v>0</v>
      </c>
      <c r="Y56" s="226">
        <v>0.0</v>
      </c>
      <c r="Z56" s="227">
        <v>0.09</v>
      </c>
      <c r="AA56" s="228">
        <f t="shared" si="35"/>
        <v>0</v>
      </c>
    </row>
    <row r="57" ht="15.75" customHeight="1">
      <c r="A57" s="233"/>
      <c r="B57" s="217" t="s">
        <v>79</v>
      </c>
      <c r="C57" s="116"/>
      <c r="D57" s="117"/>
      <c r="E57" s="251">
        <v>1.0</v>
      </c>
      <c r="F57" s="251" t="s">
        <v>49</v>
      </c>
      <c r="G57" s="226">
        <v>1.0</v>
      </c>
      <c r="H57" s="226"/>
      <c r="I57" s="226"/>
      <c r="J57" s="226"/>
      <c r="K57" s="226">
        <f t="shared" si="31"/>
        <v>0</v>
      </c>
      <c r="L57" s="227">
        <v>0.09</v>
      </c>
      <c r="M57" s="228">
        <f t="shared" si="32"/>
        <v>0</v>
      </c>
      <c r="N57" s="231"/>
      <c r="O57" s="53"/>
      <c r="P57" s="251">
        <v>1.0</v>
      </c>
      <c r="Q57" s="251" t="s">
        <v>49</v>
      </c>
      <c r="R57" s="226">
        <v>1.0</v>
      </c>
      <c r="S57" s="226"/>
      <c r="T57" s="226"/>
      <c r="U57" s="226"/>
      <c r="V57" s="226">
        <f t="shared" si="33"/>
        <v>0</v>
      </c>
      <c r="W57" s="227">
        <v>0.09</v>
      </c>
      <c r="X57" s="228">
        <f t="shared" si="34"/>
        <v>0</v>
      </c>
      <c r="Y57" s="226">
        <v>0.0</v>
      </c>
      <c r="Z57" s="227">
        <v>0.09</v>
      </c>
      <c r="AA57" s="228">
        <f t="shared" si="35"/>
        <v>0</v>
      </c>
    </row>
    <row r="58" ht="15.75" customHeight="1">
      <c r="A58" s="233"/>
      <c r="B58" s="258" t="s">
        <v>80</v>
      </c>
      <c r="C58" s="63"/>
      <c r="D58" s="64"/>
      <c r="E58" s="251">
        <v>1.0</v>
      </c>
      <c r="F58" s="251" t="s">
        <v>81</v>
      </c>
      <c r="G58" s="226">
        <v>1.0</v>
      </c>
      <c r="H58" s="226"/>
      <c r="I58" s="264"/>
      <c r="J58" s="264"/>
      <c r="K58" s="226">
        <f t="shared" si="31"/>
        <v>0</v>
      </c>
      <c r="L58" s="227">
        <v>0.09</v>
      </c>
      <c r="M58" s="228">
        <f t="shared" si="32"/>
        <v>0</v>
      </c>
      <c r="N58" s="231"/>
      <c r="O58" s="53"/>
      <c r="P58" s="251">
        <v>1.0</v>
      </c>
      <c r="Q58" s="251" t="s">
        <v>81</v>
      </c>
      <c r="R58" s="226">
        <v>1.0</v>
      </c>
      <c r="S58" s="226"/>
      <c r="T58" s="264"/>
      <c r="U58" s="264"/>
      <c r="V58" s="226">
        <f t="shared" si="33"/>
        <v>0</v>
      </c>
      <c r="W58" s="227">
        <v>0.09</v>
      </c>
      <c r="X58" s="228">
        <f t="shared" si="34"/>
        <v>0</v>
      </c>
      <c r="Y58" s="226">
        <v>0.0</v>
      </c>
      <c r="Z58" s="227">
        <v>0.09</v>
      </c>
      <c r="AA58" s="228">
        <f t="shared" si="35"/>
        <v>0</v>
      </c>
    </row>
    <row r="59" ht="15.75" customHeight="1">
      <c r="E59" s="236"/>
      <c r="F59" s="244"/>
      <c r="G59" s="238"/>
      <c r="H59" s="238"/>
      <c r="I59" s="245"/>
      <c r="J59" s="245"/>
      <c r="K59" s="245"/>
      <c r="L59" s="246" t="s">
        <v>82</v>
      </c>
      <c r="M59" s="242">
        <f>SUM(M24:M58)</f>
        <v>0</v>
      </c>
      <c r="N59" s="243"/>
      <c r="O59" s="53"/>
      <c r="P59" s="244"/>
      <c r="Q59" s="244"/>
      <c r="R59" s="238"/>
      <c r="S59" s="238"/>
      <c r="T59" s="245"/>
      <c r="U59" s="245"/>
      <c r="V59" s="245"/>
      <c r="W59" s="246" t="s">
        <v>82</v>
      </c>
      <c r="X59" s="242">
        <f>SUM(X24:X58)</f>
        <v>0</v>
      </c>
      <c r="Y59" s="245"/>
      <c r="Z59" s="246" t="s">
        <v>82</v>
      </c>
      <c r="AA59" s="242">
        <f>SUM(AA24:AA58)</f>
        <v>0</v>
      </c>
    </row>
    <row r="60" ht="18.75" customHeight="1">
      <c r="A60" s="188"/>
      <c r="B60" s="188"/>
      <c r="C60" s="188"/>
      <c r="D60" s="188"/>
      <c r="E60" s="233"/>
      <c r="F60" s="233"/>
      <c r="G60" s="233"/>
      <c r="H60" s="233"/>
      <c r="I60" s="233"/>
      <c r="J60" s="233"/>
      <c r="K60" s="233"/>
      <c r="L60" s="265"/>
      <c r="M60" s="266"/>
      <c r="N60" s="231"/>
      <c r="O60" s="53"/>
      <c r="P60" s="267"/>
      <c r="Q60" s="267"/>
      <c r="R60" s="265"/>
      <c r="S60" s="265"/>
      <c r="T60" s="265"/>
      <c r="U60" s="265"/>
      <c r="V60" s="265"/>
      <c r="W60" s="265"/>
      <c r="X60" s="268"/>
      <c r="Y60" s="52"/>
      <c r="Z60" s="52"/>
      <c r="AA60" s="52"/>
    </row>
    <row r="61" ht="15.75" customHeight="1">
      <c r="A61" s="188"/>
      <c r="B61" s="188"/>
      <c r="C61" s="188"/>
      <c r="D61" s="188"/>
      <c r="E61" s="269"/>
      <c r="F61" s="269"/>
      <c r="G61" s="269"/>
      <c r="H61" s="269"/>
      <c r="I61" s="270"/>
      <c r="J61" s="271"/>
      <c r="K61" s="271"/>
      <c r="L61" s="271" t="s">
        <v>83</v>
      </c>
      <c r="M61" s="272">
        <f>M18+M21+M22</f>
        <v>0</v>
      </c>
      <c r="N61" s="231"/>
      <c r="O61" s="53"/>
      <c r="P61" s="273"/>
      <c r="Q61" s="269"/>
      <c r="R61" s="269"/>
      <c r="S61" s="269"/>
      <c r="T61" s="269"/>
      <c r="U61" s="269"/>
      <c r="V61" s="270"/>
      <c r="W61" s="271" t="s">
        <v>84</v>
      </c>
      <c r="X61" s="272">
        <f>X18++X21+X22</f>
        <v>0</v>
      </c>
      <c r="Y61" s="270"/>
      <c r="Z61" s="271" t="s">
        <v>84</v>
      </c>
      <c r="AA61" s="272">
        <f>AA18+AA21+AA22</f>
        <v>0</v>
      </c>
    </row>
    <row r="62" ht="15.75" customHeight="1">
      <c r="A62" s="188"/>
      <c r="B62" s="188"/>
      <c r="C62" s="188"/>
      <c r="D62" s="188"/>
      <c r="E62" s="269"/>
      <c r="F62" s="269"/>
      <c r="G62" s="269"/>
      <c r="H62" s="269"/>
      <c r="I62" s="270"/>
      <c r="J62" s="271"/>
      <c r="K62" s="271"/>
      <c r="L62" s="271" t="s">
        <v>85</v>
      </c>
      <c r="M62" s="274">
        <f>M59</f>
        <v>0</v>
      </c>
      <c r="N62" s="231"/>
      <c r="O62" s="53"/>
      <c r="P62" s="273"/>
      <c r="Q62" s="269"/>
      <c r="R62" s="269"/>
      <c r="S62" s="269"/>
      <c r="T62" s="269"/>
      <c r="U62" s="269"/>
      <c r="V62" s="270"/>
      <c r="W62" s="275" t="s">
        <v>85</v>
      </c>
      <c r="X62" s="274">
        <f>X59</f>
        <v>0</v>
      </c>
      <c r="Y62" s="270"/>
      <c r="Z62" s="275" t="s">
        <v>85</v>
      </c>
      <c r="AA62" s="274">
        <f>AA59</f>
        <v>0</v>
      </c>
    </row>
    <row r="63" ht="15.75" customHeight="1">
      <c r="A63" s="188"/>
      <c r="B63" s="188"/>
      <c r="C63" s="188"/>
      <c r="D63" s="188"/>
      <c r="E63" s="276"/>
      <c r="F63" s="276"/>
      <c r="G63" s="276"/>
      <c r="H63" s="276"/>
      <c r="I63" s="275"/>
      <c r="J63" s="275"/>
      <c r="K63" s="275" t="s">
        <v>86</v>
      </c>
      <c r="L63" s="277"/>
      <c r="M63" s="278">
        <f>(M61+M62)*L63</f>
        <v>0</v>
      </c>
      <c r="N63" s="231"/>
      <c r="O63" s="53"/>
      <c r="P63" s="279"/>
      <c r="Q63" s="276"/>
      <c r="R63" s="276"/>
      <c r="S63" s="276"/>
      <c r="T63" s="276"/>
      <c r="U63" s="276"/>
      <c r="V63" s="275"/>
      <c r="W63" s="275" t="s">
        <v>86</v>
      </c>
      <c r="X63" s="278">
        <f>M63</f>
        <v>0</v>
      </c>
      <c r="Y63" s="275"/>
      <c r="Z63" s="275" t="s">
        <v>86</v>
      </c>
      <c r="AA63" s="278">
        <v>0.0</v>
      </c>
    </row>
    <row r="64" ht="15.75" customHeight="1">
      <c r="A64" s="188"/>
      <c r="B64" s="188"/>
      <c r="C64" s="188"/>
      <c r="D64" s="188"/>
      <c r="E64" s="280"/>
      <c r="F64" s="280"/>
      <c r="G64" s="280"/>
      <c r="H64" s="280"/>
      <c r="I64" s="280"/>
      <c r="J64" s="281"/>
      <c r="K64" s="281"/>
      <c r="L64" s="281" t="s">
        <v>87</v>
      </c>
      <c r="M64" s="282">
        <f>M61+M62+M63</f>
        <v>0</v>
      </c>
      <c r="N64" s="231"/>
      <c r="O64" s="53"/>
      <c r="P64" s="283"/>
      <c r="Q64" s="280"/>
      <c r="R64" s="280"/>
      <c r="S64" s="280"/>
      <c r="T64" s="280"/>
      <c r="U64" s="280"/>
      <c r="V64" s="280"/>
      <c r="W64" s="281" t="s">
        <v>87</v>
      </c>
      <c r="X64" s="282">
        <f>X61+X62+X63</f>
        <v>0</v>
      </c>
      <c r="Y64" s="281"/>
      <c r="Z64" s="281" t="s">
        <v>88</v>
      </c>
      <c r="AA64" s="282">
        <f>AA61+AA62+AA63</f>
        <v>0</v>
      </c>
    </row>
    <row r="65" ht="15.75" customHeight="1">
      <c r="A65" s="188"/>
      <c r="B65" s="188"/>
      <c r="C65" s="188"/>
      <c r="D65" s="188"/>
      <c r="E65" s="284"/>
      <c r="F65" s="284"/>
      <c r="G65" s="284"/>
      <c r="H65" s="284"/>
      <c r="I65" s="285"/>
      <c r="J65" s="285"/>
      <c r="K65" s="285" t="s">
        <v>89</v>
      </c>
      <c r="L65" s="286">
        <v>0.1</v>
      </c>
      <c r="M65" s="272">
        <f>M64*L65</f>
        <v>0</v>
      </c>
      <c r="N65" s="231"/>
      <c r="O65" s="53"/>
      <c r="P65" s="287"/>
      <c r="Q65" s="284"/>
      <c r="R65" s="284"/>
      <c r="S65" s="284"/>
      <c r="T65" s="284"/>
      <c r="U65" s="284"/>
      <c r="V65" s="271"/>
      <c r="W65" s="271"/>
      <c r="X65" s="271"/>
      <c r="Y65" s="288"/>
      <c r="Z65" s="271"/>
      <c r="AA65" s="271"/>
    </row>
    <row r="66" ht="15.75" customHeight="1">
      <c r="A66" s="188"/>
      <c r="B66" s="188"/>
      <c r="C66" s="188"/>
      <c r="D66" s="188"/>
      <c r="E66" s="276"/>
      <c r="F66" s="276"/>
      <c r="G66" s="276"/>
      <c r="H66" s="276"/>
      <c r="I66" s="275"/>
      <c r="J66" s="275"/>
      <c r="K66" s="275" t="s">
        <v>90</v>
      </c>
      <c r="L66" s="278">
        <v>0.0</v>
      </c>
      <c r="M66" s="278">
        <f>M64*L66*4.5%</f>
        <v>0</v>
      </c>
      <c r="N66" s="231"/>
      <c r="O66" s="53"/>
      <c r="P66" s="279"/>
      <c r="Q66" s="276"/>
      <c r="R66" s="276"/>
      <c r="S66" s="276"/>
      <c r="T66" s="276"/>
      <c r="U66" s="276"/>
      <c r="V66" s="275" t="s">
        <v>91</v>
      </c>
      <c r="W66" s="278">
        <f>L66</f>
        <v>0</v>
      </c>
      <c r="X66" s="278">
        <f>X64*W66*4.5%/2</f>
        <v>0</v>
      </c>
      <c r="Y66" s="275"/>
      <c r="Z66" s="275" t="s">
        <v>91</v>
      </c>
      <c r="AA66" s="278">
        <f>X66</f>
        <v>0</v>
      </c>
    </row>
    <row r="67" ht="15.75" customHeight="1">
      <c r="A67" s="188"/>
      <c r="B67" s="188"/>
      <c r="C67" s="188"/>
      <c r="D67" s="188"/>
      <c r="E67" s="280"/>
      <c r="F67" s="280"/>
      <c r="G67" s="280"/>
      <c r="H67" s="280"/>
      <c r="I67" s="280"/>
      <c r="J67" s="281"/>
      <c r="K67" s="281"/>
      <c r="L67" s="281" t="s">
        <v>102</v>
      </c>
      <c r="M67" s="282">
        <f>SUM(M64+M65+M66)</f>
        <v>0</v>
      </c>
      <c r="N67" s="231"/>
      <c r="O67" s="53"/>
      <c r="P67" s="283"/>
      <c r="Q67" s="280"/>
      <c r="R67" s="280"/>
      <c r="S67" s="280"/>
      <c r="T67" s="280"/>
      <c r="U67" s="280"/>
      <c r="V67" s="280"/>
      <c r="W67" s="289" t="s">
        <v>93</v>
      </c>
      <c r="X67" s="282">
        <f>SUM(X64+X66)</f>
        <v>0</v>
      </c>
      <c r="Y67" s="289"/>
      <c r="Z67" s="289" t="s">
        <v>93</v>
      </c>
      <c r="AA67" s="282">
        <f>SUM(AA64+AA66)</f>
        <v>0</v>
      </c>
    </row>
    <row r="68" ht="15.75" customHeight="1">
      <c r="A68" s="188"/>
      <c r="B68" s="188"/>
      <c r="C68" s="188"/>
      <c r="D68" s="188"/>
      <c r="E68" s="290"/>
      <c r="F68" s="290"/>
      <c r="G68" s="290"/>
      <c r="H68" s="290"/>
      <c r="I68" s="291"/>
      <c r="J68" s="271"/>
      <c r="K68" s="271" t="s">
        <v>103</v>
      </c>
      <c r="L68" s="286">
        <v>0.13</v>
      </c>
      <c r="M68" s="272">
        <f>(M67/0.87)-M67</f>
        <v>0</v>
      </c>
      <c r="N68" s="231"/>
      <c r="O68" s="53"/>
      <c r="P68" s="292"/>
      <c r="Q68" s="290"/>
      <c r="R68" s="290"/>
      <c r="S68" s="290"/>
      <c r="T68" s="290"/>
      <c r="U68" s="290"/>
      <c r="V68" s="291"/>
      <c r="W68" s="271"/>
      <c r="X68" s="271"/>
      <c r="Y68" s="291"/>
      <c r="Z68" s="271"/>
      <c r="AA68" s="271"/>
    </row>
    <row r="69" ht="15.75" customHeight="1">
      <c r="A69" s="188"/>
      <c r="B69" s="188"/>
      <c r="C69" s="188"/>
      <c r="D69" s="188"/>
      <c r="E69" s="280"/>
      <c r="F69" s="280"/>
      <c r="G69" s="280"/>
      <c r="H69" s="280"/>
      <c r="I69" s="280"/>
      <c r="J69" s="289"/>
      <c r="K69" s="289"/>
      <c r="L69" s="281" t="s">
        <v>104</v>
      </c>
      <c r="M69" s="293">
        <f>M67+M68</f>
        <v>0</v>
      </c>
      <c r="N69" s="231"/>
      <c r="O69" s="53"/>
      <c r="P69" s="294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</row>
    <row r="70" ht="15.75" customHeight="1">
      <c r="A70" s="188"/>
      <c r="B70" s="188"/>
      <c r="C70" s="188"/>
      <c r="D70" s="188"/>
      <c r="E70" s="190"/>
      <c r="F70" s="190"/>
      <c r="G70" s="190"/>
      <c r="H70" s="190"/>
      <c r="I70" s="190"/>
      <c r="J70" s="190"/>
      <c r="K70" s="190"/>
      <c r="L70" s="190"/>
      <c r="M70" s="190"/>
      <c r="N70" s="231"/>
      <c r="O70" s="53"/>
      <c r="P70" s="267"/>
      <c r="Q70" s="267"/>
      <c r="R70" s="265"/>
      <c r="S70" s="265"/>
      <c r="T70" s="265"/>
      <c r="U70" s="265"/>
      <c r="V70" s="265"/>
      <c r="W70" s="265"/>
      <c r="X70" s="268"/>
      <c r="Y70" s="265"/>
      <c r="Z70" s="265"/>
      <c r="AA70" s="268"/>
    </row>
    <row r="71" ht="15.75" customHeight="1">
      <c r="A71" s="188"/>
      <c r="B71" s="258" t="s">
        <v>96</v>
      </c>
      <c r="C71" s="63"/>
      <c r="D71" s="64"/>
      <c r="E71" s="295" t="s">
        <v>97</v>
      </c>
      <c r="N71" s="178"/>
      <c r="O71" s="53"/>
      <c r="P71" s="296" t="s">
        <v>98</v>
      </c>
      <c r="X71" s="297">
        <f>M67-X67</f>
        <v>0</v>
      </c>
      <c r="Y71" s="298" t="s">
        <v>99</v>
      </c>
      <c r="AA71" s="299">
        <f>M67-AA67</f>
        <v>0</v>
      </c>
    </row>
    <row r="72" ht="15.75" customHeight="1">
      <c r="A72" s="188"/>
      <c r="B72" s="188"/>
      <c r="C72" s="188"/>
      <c r="D72" s="188"/>
      <c r="N72" s="178"/>
      <c r="O72" s="53"/>
      <c r="X72" s="300" t="str">
        <f>X71/M67</f>
        <v>#DIV/0!</v>
      </c>
      <c r="AA72" s="301" t="str">
        <f>AA71/M67</f>
        <v>#DIV/0!</v>
      </c>
    </row>
    <row r="73" ht="15.75" customHeight="1">
      <c r="A73" s="188"/>
      <c r="B73" s="188"/>
      <c r="C73" s="188"/>
      <c r="D73" s="188"/>
      <c r="N73" s="178"/>
      <c r="O73" s="53"/>
      <c r="X73" s="302"/>
      <c r="AA73" s="303"/>
    </row>
    <row r="74" ht="13.5" customHeight="1">
      <c r="A74" s="188"/>
      <c r="B74" s="188"/>
      <c r="C74" s="188"/>
      <c r="D74" s="188"/>
      <c r="N74" s="178"/>
      <c r="O74" s="304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</row>
    <row r="75" ht="15.75" customHeight="1">
      <c r="A75" s="188"/>
      <c r="B75" s="188"/>
      <c r="C75" s="188"/>
      <c r="D75" s="188"/>
      <c r="N75" s="178"/>
      <c r="O75" s="305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</row>
    <row r="76" ht="15.75" customHeight="1">
      <c r="A76" s="188"/>
      <c r="B76" s="188"/>
      <c r="C76" s="188"/>
      <c r="D76" s="188"/>
      <c r="N76" s="178"/>
      <c r="O76" s="305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</row>
    <row r="77" ht="15.75" customHeight="1">
      <c r="A77" s="188"/>
      <c r="B77" s="188"/>
      <c r="C77" s="188"/>
      <c r="D77" s="188"/>
      <c r="N77" s="178"/>
      <c r="O77" s="305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</row>
    <row r="78" ht="15.75" customHeight="1">
      <c r="A78" s="188"/>
      <c r="B78" s="188"/>
      <c r="C78" s="188"/>
      <c r="D78" s="188"/>
      <c r="E78" s="295"/>
      <c r="F78" s="295"/>
      <c r="G78" s="295"/>
      <c r="H78" s="295"/>
      <c r="I78" s="295"/>
      <c r="J78" s="295"/>
      <c r="K78" s="295"/>
      <c r="L78" s="295"/>
      <c r="M78" s="295"/>
      <c r="N78" s="306"/>
      <c r="O78" s="305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</row>
    <row r="79" ht="15.75" customHeight="1">
      <c r="A79" s="188"/>
      <c r="B79" s="188"/>
      <c r="C79" s="188"/>
      <c r="D79" s="188"/>
      <c r="E79" s="295"/>
      <c r="F79" s="295"/>
      <c r="G79" s="295"/>
      <c r="H79" s="295"/>
      <c r="I79" s="295"/>
      <c r="J79" s="295"/>
      <c r="K79" s="295"/>
      <c r="L79" s="295"/>
      <c r="M79" s="295"/>
      <c r="N79" s="306"/>
      <c r="O79" s="305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</row>
    <row r="80" ht="15.75" customHeight="1">
      <c r="A80" s="188"/>
      <c r="B80" s="188"/>
      <c r="C80" s="188"/>
      <c r="D80" s="188"/>
      <c r="E80" s="307"/>
      <c r="F80" s="307"/>
      <c r="G80" s="307"/>
      <c r="H80" s="307"/>
      <c r="I80" s="307"/>
      <c r="J80" s="307"/>
      <c r="K80" s="307"/>
      <c r="L80" s="307"/>
      <c r="M80" s="307"/>
      <c r="N80" s="308"/>
      <c r="O80" s="305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</row>
    <row r="81" ht="15.75" customHeight="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9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</row>
    <row r="82" ht="15.75" customHeight="1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9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</row>
    <row r="83" ht="15.75" customHeight="1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9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</row>
    <row r="84" ht="15.75" customHeight="1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9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</row>
    <row r="85" ht="15.75" customHeight="1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9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</row>
    <row r="86" ht="15.75" customHeight="1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9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</row>
    <row r="87" ht="15.75" customHeight="1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9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</row>
    <row r="88" ht="15.75" customHeight="1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9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</row>
    <row r="89" ht="15.75" customHeight="1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9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</row>
    <row r="90" ht="15.75" customHeight="1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9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</row>
    <row r="91" ht="15.75" customHeight="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</row>
    <row r="92" ht="15.75" customHeight="1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9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</row>
    <row r="93" ht="15.75" customHeight="1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9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</row>
    <row r="94" ht="15.75" customHeight="1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9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</row>
    <row r="95" ht="15.75" customHeight="1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9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</row>
    <row r="96" ht="15.75" customHeight="1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9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</row>
    <row r="97" ht="15.75" customHeight="1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9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</row>
    <row r="98" ht="15.75" customHeight="1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9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</row>
    <row r="99" ht="15.75" customHeight="1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9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</row>
    <row r="100" ht="15.75" customHeight="1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9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</row>
    <row r="101" ht="15.75" customHeight="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9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</row>
    <row r="102" ht="15.75" customHeight="1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9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</row>
    <row r="103" ht="15.75" customHeight="1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9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</row>
    <row r="104" ht="15.75" customHeight="1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9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</row>
    <row r="105" ht="15.75" customHeight="1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9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</row>
    <row r="106" ht="15.75" customHeight="1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9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</row>
    <row r="107" ht="15.75" customHeight="1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9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</row>
    <row r="108" ht="15.75" customHeight="1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9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</row>
    <row r="109" ht="15.75" customHeight="1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9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</row>
    <row r="110" ht="15.75" customHeight="1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9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</row>
    <row r="111" ht="15.75" customHeight="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9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</row>
    <row r="112" ht="15.75" customHeight="1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9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</row>
    <row r="113" ht="15.75" customHeight="1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9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</row>
    <row r="114" ht="15.75" customHeight="1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9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</row>
    <row r="115" ht="15.7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9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</row>
    <row r="116" ht="15.75" customHeight="1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9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</row>
    <row r="117" ht="15.75" customHeight="1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9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</row>
    <row r="118" ht="15.75" customHeight="1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9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</row>
    <row r="119" ht="15.75" customHeight="1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9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</row>
    <row r="120" ht="15.75" customHeight="1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9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</row>
    <row r="121" ht="15.75" customHeight="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9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</row>
    <row r="122" ht="15.75" customHeight="1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9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</row>
    <row r="123" ht="15.75" customHeight="1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9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</row>
    <row r="124" ht="15.75" customHeight="1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9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</row>
    <row r="125" ht="15.75" customHeight="1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9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</row>
    <row r="126" ht="15.75" customHeight="1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9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</row>
    <row r="127" ht="15.75" customHeight="1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9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</row>
    <row r="128" ht="15.75" customHeight="1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9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</row>
    <row r="129" ht="15.75" customHeight="1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9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</row>
    <row r="130" ht="15.75" customHeight="1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9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</row>
    <row r="131" ht="15.75" customHeight="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9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</row>
    <row r="132" ht="15.75" customHeight="1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9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</row>
    <row r="133" ht="15.75" customHeight="1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9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</row>
    <row r="134" ht="15.75" customHeight="1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9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</row>
    <row r="135" ht="15.7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9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</row>
    <row r="136" ht="15.75" customHeight="1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9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</row>
    <row r="137" ht="15.75" customHeight="1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9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</row>
    <row r="138" ht="15.75" customHeight="1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9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</row>
    <row r="139" ht="15.75" customHeight="1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9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</row>
    <row r="140" ht="15.75" customHeight="1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9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</row>
    <row r="141" ht="15.75" customHeight="1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9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</row>
    <row r="142" ht="15.75" customHeight="1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9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</row>
    <row r="143" ht="15.75" customHeight="1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9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</row>
    <row r="144" ht="15.75" customHeight="1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9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</row>
    <row r="145" ht="15.75" customHeight="1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9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</row>
    <row r="146" ht="15.75" customHeight="1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9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</row>
    <row r="147" ht="15.75" customHeight="1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9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</row>
    <row r="148" ht="15.75" customHeight="1">
      <c r="A148" s="188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9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</row>
    <row r="149" ht="15.75" customHeight="1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9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</row>
    <row r="150" ht="15.75" customHeight="1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9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</row>
    <row r="151" ht="15.75" customHeight="1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9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</row>
    <row r="152" ht="15.75" customHeight="1">
      <c r="A152" s="188"/>
      <c r="B152" s="188"/>
      <c r="C152" s="188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9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</row>
    <row r="153" ht="15.75" customHeight="1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9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</row>
    <row r="154" ht="15.75" customHeight="1">
      <c r="A154" s="188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9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</row>
    <row r="155" ht="15.7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9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</row>
    <row r="156" ht="15.75" customHeight="1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9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</row>
    <row r="157" ht="15.75" customHeight="1">
      <c r="A157" s="188"/>
      <c r="B157" s="188"/>
      <c r="C157" s="188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9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</row>
    <row r="158" ht="15.75" customHeight="1">
      <c r="A158" s="188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9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</row>
    <row r="159" ht="15.75" customHeight="1">
      <c r="A159" s="188"/>
      <c r="B159" s="188"/>
      <c r="C159" s="188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9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</row>
    <row r="160" ht="15.75" customHeight="1">
      <c r="A160" s="188"/>
      <c r="B160" s="188"/>
      <c r="C160" s="188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9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</row>
    <row r="161" ht="15.75" customHeight="1">
      <c r="A161" s="188"/>
      <c r="B161" s="188"/>
      <c r="C161" s="188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9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</row>
    <row r="162" ht="15.75" customHeight="1">
      <c r="A162" s="188"/>
      <c r="B162" s="188"/>
      <c r="C162" s="188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9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</row>
    <row r="163" ht="15.75" customHeight="1">
      <c r="A163" s="188"/>
      <c r="B163" s="188"/>
      <c r="C163" s="188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9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</row>
    <row r="164" ht="15.75" customHeight="1">
      <c r="A164" s="188"/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9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</row>
    <row r="165" ht="15.75" customHeight="1">
      <c r="A165" s="188"/>
      <c r="B165" s="188"/>
      <c r="C165" s="188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9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</row>
    <row r="166" ht="15.75" customHeight="1">
      <c r="A166" s="188"/>
      <c r="B166" s="188"/>
      <c r="C166" s="188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9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</row>
    <row r="167" ht="15.75" customHeight="1">
      <c r="A167" s="188"/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9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</row>
    <row r="168" ht="15.75" customHeight="1">
      <c r="A168" s="188"/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9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</row>
    <row r="169" ht="15.75" customHeight="1">
      <c r="A169" s="188"/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9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</row>
    <row r="170" ht="15.75" customHeight="1">
      <c r="A170" s="188"/>
      <c r="B170" s="188"/>
      <c r="C170" s="188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9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</row>
    <row r="171" ht="15.75" customHeight="1">
      <c r="A171" s="188"/>
      <c r="B171" s="188"/>
      <c r="C171" s="188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9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</row>
    <row r="172" ht="15.75" customHeight="1">
      <c r="A172" s="188"/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9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</row>
    <row r="173" ht="15.75" customHeight="1">
      <c r="A173" s="188"/>
      <c r="B173" s="188"/>
      <c r="C173" s="188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9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</row>
    <row r="174" ht="15.75" customHeight="1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9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</row>
    <row r="175" ht="15.7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9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</row>
    <row r="176" ht="15.75" customHeight="1">
      <c r="A176" s="188"/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9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</row>
    <row r="177" ht="15.75" customHeight="1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9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</row>
    <row r="178" ht="15.75" customHeight="1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9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</row>
    <row r="179" ht="15.75" customHeight="1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9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</row>
    <row r="180" ht="15.75" customHeight="1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9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</row>
    <row r="181" ht="15.75" customHeight="1">
      <c r="A181" s="188"/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9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</row>
    <row r="182" ht="15.75" customHeight="1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9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</row>
    <row r="183" ht="15.75" customHeight="1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9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</row>
    <row r="184" ht="15.75" customHeight="1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9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</row>
    <row r="185" ht="15.75" customHeight="1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9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</row>
    <row r="186" ht="15.75" customHeight="1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9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</row>
    <row r="187" ht="15.75" customHeight="1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9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</row>
    <row r="188" ht="15.75" customHeight="1">
      <c r="A188" s="188"/>
      <c r="B188" s="188"/>
      <c r="C188" s="188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9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</row>
    <row r="189" ht="15.75" customHeight="1">
      <c r="A189" s="188"/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9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</row>
    <row r="190" ht="15.75" customHeight="1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9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</row>
    <row r="191" ht="15.75" customHeight="1">
      <c r="A191" s="188"/>
      <c r="B191" s="188"/>
      <c r="C191" s="188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9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</row>
    <row r="192" ht="15.75" customHeight="1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9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</row>
    <row r="193" ht="15.75" customHeight="1">
      <c r="A193" s="188"/>
      <c r="B193" s="188"/>
      <c r="C193" s="188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9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</row>
    <row r="194" ht="15.75" customHeight="1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9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</row>
    <row r="195" ht="15.75" customHeight="1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9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</row>
    <row r="196" ht="15.75" customHeight="1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9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</row>
    <row r="197" ht="15.75" customHeight="1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9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</row>
    <row r="198" ht="15.75" customHeight="1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9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</row>
    <row r="199" ht="15.75" customHeight="1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9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</row>
    <row r="200" ht="15.75" customHeight="1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9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</row>
    <row r="201" ht="15.75" customHeight="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9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</row>
    <row r="202" ht="15.75" customHeight="1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9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</row>
    <row r="203" ht="15.75" customHeight="1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9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</row>
    <row r="204" ht="15.75" customHeight="1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9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</row>
    <row r="205" ht="15.75" customHeight="1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9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</row>
    <row r="206" ht="15.75" customHeight="1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9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</row>
    <row r="207" ht="15.75" customHeight="1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9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</row>
    <row r="208" ht="15.75" customHeight="1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9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</row>
    <row r="209" ht="15.75" customHeight="1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9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</row>
    <row r="210" ht="15.75" customHeight="1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9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</row>
    <row r="211" ht="15.75" customHeight="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9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</row>
    <row r="212" ht="15.75" customHeight="1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9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</row>
    <row r="213" ht="15.75" customHeight="1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9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</row>
    <row r="214" ht="15.75" customHeight="1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9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</row>
    <row r="215" ht="15.75" customHeight="1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9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</row>
    <row r="216" ht="15.75" customHeight="1">
      <c r="A216" s="188"/>
      <c r="B216" s="188"/>
      <c r="C216" s="188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9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</row>
    <row r="217" ht="15.75" customHeight="1">
      <c r="A217" s="188"/>
      <c r="B217" s="188"/>
      <c r="C217" s="188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9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</row>
    <row r="218" ht="15.75" customHeight="1">
      <c r="A218" s="188"/>
      <c r="B218" s="188"/>
      <c r="C218" s="188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9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</row>
    <row r="219" ht="15.75" customHeight="1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9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</row>
    <row r="220" ht="15.75" customHeight="1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9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</row>
    <row r="221" ht="15.75" customHeight="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9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</row>
    <row r="222" ht="15.75" customHeight="1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9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</row>
    <row r="223" ht="15.75" customHeight="1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9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</row>
    <row r="224" ht="15.75" customHeight="1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9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</row>
    <row r="225" ht="15.75" customHeight="1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9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</row>
    <row r="226" ht="15.75" customHeight="1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9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</row>
    <row r="227" ht="15.75" customHeight="1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9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</row>
    <row r="228" ht="15.75" customHeight="1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9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</row>
    <row r="229" ht="15.75" customHeight="1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9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</row>
    <row r="230" ht="15.75" customHeight="1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9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</row>
    <row r="231" ht="15.75" customHeight="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9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</row>
    <row r="232" ht="15.75" customHeight="1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9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</row>
    <row r="233" ht="15.75" customHeight="1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9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</row>
    <row r="234" ht="15.75" customHeight="1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9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</row>
    <row r="235" ht="15.75" customHeight="1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9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</row>
    <row r="236" ht="15.75" customHeight="1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9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</row>
    <row r="237" ht="15.75" customHeight="1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9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</row>
    <row r="238" ht="15.75" customHeight="1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9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</row>
    <row r="239" ht="15.75" customHeight="1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9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</row>
    <row r="240" ht="15.75" customHeight="1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9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</row>
    <row r="241" ht="15.75" customHeight="1">
      <c r="A241" s="188"/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9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</row>
    <row r="242" ht="15.75" customHeight="1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9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</row>
    <row r="243" ht="15.75" customHeight="1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9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</row>
    <row r="244" ht="15.75" customHeight="1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9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</row>
    <row r="245" ht="15.75" customHeight="1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9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</row>
    <row r="246" ht="15.75" customHeight="1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9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</row>
    <row r="247" ht="15.75" customHeight="1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9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</row>
    <row r="248" ht="15.75" customHeight="1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9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</row>
    <row r="249" ht="15.75" customHeight="1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9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</row>
    <row r="250" ht="15.75" customHeight="1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9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</row>
    <row r="251" ht="15.75" customHeight="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9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</row>
    <row r="252" ht="15.75" customHeight="1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9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</row>
    <row r="253" ht="15.75" customHeight="1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9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</row>
    <row r="254" ht="15.75" customHeight="1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9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</row>
    <row r="255" ht="15.75" customHeight="1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9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</row>
    <row r="256" ht="15.75" customHeight="1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9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</row>
    <row r="257" ht="15.75" customHeight="1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9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</row>
    <row r="258" ht="15.75" customHeight="1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9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</row>
    <row r="259" ht="15.75" customHeight="1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9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</row>
    <row r="260" ht="15.75" customHeight="1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9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</row>
    <row r="261" ht="15.75" customHeight="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9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</row>
    <row r="262" ht="15.75" customHeight="1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9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</row>
    <row r="263" ht="15.75" customHeight="1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9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</row>
    <row r="264" ht="15.75" customHeight="1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9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</row>
    <row r="265" ht="15.75" customHeight="1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9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</row>
    <row r="266" ht="15.75" customHeight="1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9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</row>
    <row r="267" ht="15.75" customHeight="1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9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</row>
    <row r="268" ht="15.75" customHeight="1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9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</row>
    <row r="269" ht="15.75" customHeight="1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9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</row>
    <row r="270" ht="15.75" customHeight="1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9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</row>
    <row r="271" ht="15.75" customHeight="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9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</row>
    <row r="272" ht="15.75" customHeight="1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9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</sheetData>
  <mergeCells count="82">
    <mergeCell ref="B14:D14"/>
    <mergeCell ref="B15:D15"/>
    <mergeCell ref="B16:D16"/>
    <mergeCell ref="B17:D17"/>
    <mergeCell ref="A19:D19"/>
    <mergeCell ref="B20:D20"/>
    <mergeCell ref="B21:D21"/>
    <mergeCell ref="B22:D22"/>
    <mergeCell ref="A23:D23"/>
    <mergeCell ref="B24:D24"/>
    <mergeCell ref="B25:D25"/>
    <mergeCell ref="B26:D26"/>
    <mergeCell ref="B27:D27"/>
    <mergeCell ref="B28:D2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71:D71"/>
    <mergeCell ref="E71:N77"/>
    <mergeCell ref="P71:W73"/>
    <mergeCell ref="Y71:Z73"/>
    <mergeCell ref="B52:D52"/>
    <mergeCell ref="B53:D53"/>
    <mergeCell ref="B54:D54"/>
    <mergeCell ref="B55:D55"/>
    <mergeCell ref="B56:D56"/>
    <mergeCell ref="B57:D57"/>
    <mergeCell ref="B58:D58"/>
    <mergeCell ref="I2:J3"/>
    <mergeCell ref="K2:K5"/>
    <mergeCell ref="I4:I5"/>
    <mergeCell ref="J4:J5"/>
    <mergeCell ref="L2:L5"/>
    <mergeCell ref="M2:M5"/>
    <mergeCell ref="N2:N5"/>
    <mergeCell ref="P2:P5"/>
    <mergeCell ref="Q2:Q5"/>
    <mergeCell ref="R2:R5"/>
    <mergeCell ref="S2:S5"/>
    <mergeCell ref="T4:T5"/>
    <mergeCell ref="U4:U5"/>
    <mergeCell ref="T2:U3"/>
    <mergeCell ref="V2:V5"/>
    <mergeCell ref="W2:W5"/>
    <mergeCell ref="X2:X5"/>
    <mergeCell ref="Y2:Y5"/>
    <mergeCell ref="Z2:Z5"/>
    <mergeCell ref="AA2:AA5"/>
    <mergeCell ref="K1:L1"/>
    <mergeCell ref="A2:B5"/>
    <mergeCell ref="C2:D5"/>
    <mergeCell ref="E2:E5"/>
    <mergeCell ref="F2:F5"/>
    <mergeCell ref="G2:G5"/>
    <mergeCell ref="H2:H5"/>
    <mergeCell ref="A7:D7"/>
    <mergeCell ref="B8:D8"/>
    <mergeCell ref="B9:D9"/>
    <mergeCell ref="B10:D10"/>
    <mergeCell ref="B11:D11"/>
    <mergeCell ref="B12:D12"/>
    <mergeCell ref="B13:D13"/>
    <mergeCell ref="B29:D29"/>
    <mergeCell ref="B30:D30"/>
  </mergeCells>
  <conditionalFormatting sqref="A2:B3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09" t="s">
        <v>105</v>
      </c>
      <c r="B1" s="56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</row>
    <row r="2" ht="27.0" customHeight="1">
      <c r="A2" s="311" t="s">
        <v>7</v>
      </c>
      <c r="B2" s="311" t="s">
        <v>106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</row>
    <row r="3" ht="27.0" customHeight="1">
      <c r="A3" s="312" t="s">
        <v>107</v>
      </c>
      <c r="B3" s="312" t="s">
        <v>108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</row>
    <row r="4" ht="27.0" customHeight="1">
      <c r="A4" s="312" t="s">
        <v>109</v>
      </c>
      <c r="B4" s="312" t="s">
        <v>110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 ht="27.0" customHeight="1">
      <c r="A5" s="312" t="s">
        <v>111</v>
      </c>
      <c r="B5" s="312" t="s">
        <v>112</v>
      </c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</row>
    <row r="6" ht="27.0" customHeight="1">
      <c r="A6" s="313" t="s">
        <v>113</v>
      </c>
      <c r="B6" s="314">
        <f>'CE (ИП)'!X67</f>
        <v>0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</row>
    <row r="7" ht="27.0" customHeight="1">
      <c r="A7" s="315" t="s">
        <v>114</v>
      </c>
      <c r="B7" s="314">
        <f>'CE (ИП)'!AA67</f>
        <v>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</row>
    <row r="8" ht="27.0" customHeight="1">
      <c r="A8" s="312" t="s">
        <v>115</v>
      </c>
      <c r="B8" s="314">
        <f>'CE (ИП)'!M69</f>
        <v>0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</row>
    <row r="9" ht="27.0" customHeight="1">
      <c r="A9" s="313" t="s">
        <v>116</v>
      </c>
      <c r="B9" s="316" t="str">
        <f>'CE (ИП)'!T1</f>
        <v>#DIV/0!</v>
      </c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</row>
    <row r="10" ht="27.0" customHeight="1">
      <c r="A10" s="315" t="s">
        <v>117</v>
      </c>
      <c r="B10" s="316" t="str">
        <f>'CE (ИП)'!AA72</f>
        <v>#DIV/0!</v>
      </c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</row>
    <row r="11" ht="27.0" customHeight="1">
      <c r="A11" s="312" t="s">
        <v>118</v>
      </c>
      <c r="B11" s="317" t="s">
        <v>119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</row>
    <row r="12" ht="27.0" customHeight="1">
      <c r="A12" s="312" t="s">
        <v>120</v>
      </c>
      <c r="B12" s="318" t="s">
        <v>121</v>
      </c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</row>
    <row r="13" ht="27.0" customHeight="1">
      <c r="A13" s="312" t="s">
        <v>122</v>
      </c>
      <c r="B13" s="318" t="s">
        <v>123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27.0" customHeight="1">
      <c r="A14" s="319" t="s">
        <v>124</v>
      </c>
      <c r="B14" s="32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</row>
    <row r="15" ht="27.0" customHeight="1">
      <c r="A15" s="312" t="s">
        <v>125</v>
      </c>
      <c r="B15" s="321" t="s">
        <v>126</v>
      </c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</row>
    <row r="16" ht="27.0" customHeight="1">
      <c r="A16" s="312" t="s">
        <v>127</v>
      </c>
      <c r="B16" s="320">
        <v>46094.0</v>
      </c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</row>
    <row r="17" ht="27.0" customHeight="1">
      <c r="A17" s="312" t="s">
        <v>128</v>
      </c>
      <c r="B17" s="312" t="s">
        <v>129</v>
      </c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</row>
    <row r="18" ht="27.0" customHeight="1">
      <c r="A18" s="312" t="s">
        <v>130</v>
      </c>
      <c r="B18" s="322" t="s">
        <v>131</v>
      </c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</row>
    <row r="19" ht="27.0" customHeight="1">
      <c r="A19" s="312" t="s">
        <v>132</v>
      </c>
      <c r="B19" s="323">
        <v>1.0</v>
      </c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</row>
    <row r="20" ht="27.0" customHeight="1">
      <c r="A20" s="312" t="s">
        <v>133</v>
      </c>
      <c r="B20" s="322" t="s">
        <v>134</v>
      </c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</row>
    <row r="21" ht="27.0" customHeight="1">
      <c r="A21" s="312" t="s">
        <v>135</v>
      </c>
      <c r="B21" s="322">
        <v>2.0</v>
      </c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</row>
    <row r="22" ht="27.0" customHeight="1">
      <c r="A22" s="312" t="s">
        <v>136</v>
      </c>
      <c r="B22" s="322" t="s">
        <v>134</v>
      </c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</row>
    <row r="23" ht="27.0" customHeight="1">
      <c r="A23" s="312" t="s">
        <v>137</v>
      </c>
      <c r="B23" s="322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</row>
    <row r="24" ht="27.0" customHeight="1">
      <c r="A24" s="312" t="s">
        <v>138</v>
      </c>
      <c r="B24" s="322" t="s">
        <v>139</v>
      </c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</row>
    <row r="25" ht="27.0" customHeight="1">
      <c r="A25" s="312" t="s">
        <v>140</v>
      </c>
      <c r="B25" s="322" t="s">
        <v>139</v>
      </c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</row>
    <row r="26" ht="27.0" customHeight="1">
      <c r="A26" s="312" t="s">
        <v>141</v>
      </c>
      <c r="B26" s="322" t="s">
        <v>139</v>
      </c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</row>
    <row r="27" ht="27.0" customHeight="1">
      <c r="A27" s="312" t="s">
        <v>142</v>
      </c>
      <c r="B27" s="322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</row>
    <row r="28" ht="27.0" customHeight="1">
      <c r="A28" s="312" t="s">
        <v>143</v>
      </c>
      <c r="B28" s="322" t="s">
        <v>139</v>
      </c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</row>
    <row r="29" ht="27.0" customHeight="1">
      <c r="A29" s="312" t="s">
        <v>144</v>
      </c>
      <c r="B29" s="322" t="s">
        <v>145</v>
      </c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</row>
    <row r="30" ht="27.0" customHeight="1">
      <c r="A30" s="312" t="s">
        <v>146</v>
      </c>
      <c r="B30" s="322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</row>
    <row r="31" ht="27.0" customHeight="1">
      <c r="A31" s="312" t="s">
        <v>147</v>
      </c>
      <c r="B31" s="324" t="s">
        <v>148</v>
      </c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</row>
    <row r="32" ht="27.0" customHeight="1">
      <c r="A32" s="312" t="s">
        <v>149</v>
      </c>
      <c r="B32" s="322" t="s">
        <v>150</v>
      </c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</row>
    <row r="33" ht="27.0" customHeight="1">
      <c r="A33" s="312" t="s">
        <v>151</v>
      </c>
      <c r="B33" s="324" t="s">
        <v>152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</row>
    <row r="34" ht="27.0" customHeight="1">
      <c r="A34" s="319" t="s">
        <v>153</v>
      </c>
      <c r="B34" s="322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</row>
    <row r="35" ht="27.0" customHeight="1">
      <c r="A35" s="312" t="s">
        <v>125</v>
      </c>
      <c r="B35" s="325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</row>
    <row r="36" ht="27.0" customHeight="1">
      <c r="A36" s="312" t="s">
        <v>127</v>
      </c>
      <c r="B36" s="32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</row>
    <row r="37" ht="27.0" customHeight="1">
      <c r="A37" s="312" t="s">
        <v>128</v>
      </c>
      <c r="B37" s="322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</row>
    <row r="38" ht="27.0" customHeight="1">
      <c r="A38" s="312" t="s">
        <v>130</v>
      </c>
      <c r="B38" s="326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</row>
    <row r="39" ht="30.75" customHeight="1">
      <c r="A39" s="312" t="s">
        <v>154</v>
      </c>
      <c r="B39" s="322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</row>
    <row r="40" ht="30.75" customHeight="1">
      <c r="A40" s="312" t="s">
        <v>146</v>
      </c>
      <c r="B40" s="322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</row>
    <row r="41" ht="30.75" customHeight="1">
      <c r="A41" s="312" t="s">
        <v>147</v>
      </c>
      <c r="B41" s="322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</row>
    <row r="42" ht="30.75" customHeight="1">
      <c r="A42" s="312" t="s">
        <v>149</v>
      </c>
      <c r="B42" s="322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</row>
    <row r="43" ht="30.75" customHeight="1">
      <c r="A43" s="312" t="s">
        <v>151</v>
      </c>
      <c r="B43" s="322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</row>
    <row r="44" ht="30.75" customHeight="1">
      <c r="A44" s="319" t="s">
        <v>155</v>
      </c>
      <c r="B44" s="322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</row>
    <row r="45" ht="30.75" customHeight="1">
      <c r="A45" s="312" t="s">
        <v>127</v>
      </c>
      <c r="B45" s="322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</row>
    <row r="46" ht="30.75" customHeight="1">
      <c r="A46" s="312" t="s">
        <v>128</v>
      </c>
      <c r="B46" s="322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  <row r="47" ht="30.75" customHeight="1">
      <c r="A47" s="312" t="s">
        <v>130</v>
      </c>
      <c r="B47" s="322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</row>
    <row r="48" ht="30.75" customHeight="1">
      <c r="A48" s="312" t="s">
        <v>156</v>
      </c>
      <c r="B48" s="322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</row>
    <row r="49" ht="30.75" customHeight="1">
      <c r="A49" s="312" t="s">
        <v>157</v>
      </c>
      <c r="B49" s="322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</row>
    <row r="50" ht="30.75" customHeight="1">
      <c r="A50" s="312" t="s">
        <v>158</v>
      </c>
      <c r="B50" s="322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</row>
    <row r="51" ht="30.75" customHeight="1">
      <c r="A51" s="312" t="s">
        <v>159</v>
      </c>
      <c r="B51" s="322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</row>
    <row r="52" ht="30.75" customHeight="1">
      <c r="A52" s="312" t="s">
        <v>146</v>
      </c>
      <c r="B52" s="322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</row>
    <row r="53" ht="30.75" customHeight="1">
      <c r="A53" s="312" t="s">
        <v>147</v>
      </c>
      <c r="B53" s="322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</row>
    <row r="54" ht="30.75" customHeight="1">
      <c r="A54" s="312" t="s">
        <v>149</v>
      </c>
      <c r="B54" s="322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</row>
    <row r="55" ht="30.75" customHeight="1">
      <c r="A55" s="312" t="s">
        <v>151</v>
      </c>
      <c r="B55" s="322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</row>
    <row r="56" ht="30.75" customHeight="1">
      <c r="A56" s="312" t="s">
        <v>142</v>
      </c>
      <c r="B56" s="322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</row>
    <row r="57" ht="30.75" customHeight="1">
      <c r="A57" s="312" t="s">
        <v>160</v>
      </c>
      <c r="B57" s="322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</row>
    <row r="58" ht="30.75" customHeight="1">
      <c r="A58" s="312" t="s">
        <v>144</v>
      </c>
      <c r="B58" s="322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</row>
    <row r="59" ht="30.75" customHeight="1">
      <c r="A59" s="312" t="s">
        <v>161</v>
      </c>
      <c r="B59" s="322" t="s">
        <v>139</v>
      </c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</row>
    <row r="60" ht="30.75" customHeight="1">
      <c r="A60" s="312" t="s">
        <v>162</v>
      </c>
      <c r="B60" s="322" t="s">
        <v>163</v>
      </c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</row>
    <row r="61" ht="30.75" customHeight="1">
      <c r="A61" s="312" t="s">
        <v>164</v>
      </c>
      <c r="B61" s="322" t="s">
        <v>145</v>
      </c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</row>
    <row r="62" ht="30.75" customHeight="1">
      <c r="A62" s="312" t="s">
        <v>165</v>
      </c>
      <c r="B62" s="322" t="s">
        <v>145</v>
      </c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</row>
    <row r="63" ht="30.75" customHeight="1">
      <c r="A63" s="312" t="s">
        <v>166</v>
      </c>
      <c r="B63" s="322" t="s">
        <v>145</v>
      </c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</row>
    <row r="64" ht="30.75" customHeight="1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</row>
    <row r="65" ht="30.75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</row>
    <row r="66" ht="30.75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</row>
    <row r="67" ht="30.75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</row>
    <row r="68" ht="30.75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</row>
    <row r="69" ht="30.75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</row>
    <row r="70" ht="30.75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</row>
    <row r="71" ht="30.75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</row>
    <row r="72" ht="30.75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</row>
    <row r="73" ht="30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</row>
    <row r="74" ht="30.75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</row>
    <row r="75" ht="30.75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</row>
    <row r="76" ht="30.75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</row>
    <row r="77" ht="30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</row>
    <row r="78" ht="30.75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</row>
    <row r="79" ht="30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</row>
    <row r="80" ht="30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</row>
    <row r="81" ht="30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</row>
    <row r="82" ht="30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</row>
    <row r="83" ht="30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</row>
    <row r="84" ht="30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</row>
    <row r="85" ht="30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</row>
    <row r="86" ht="30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</row>
    <row r="87" ht="30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</row>
    <row r="88" ht="30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</row>
    <row r="89" ht="30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</row>
    <row r="90" ht="30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</row>
    <row r="91" ht="30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</row>
    <row r="92" ht="30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</row>
    <row r="93" ht="30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</row>
    <row r="94" ht="30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</row>
    <row r="95" ht="30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</row>
    <row r="96" ht="30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</row>
    <row r="97" ht="30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</row>
    <row r="98" ht="30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</row>
    <row r="99" ht="30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</row>
    <row r="100" ht="30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</row>
    <row r="101" ht="30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</row>
    <row r="102" ht="30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</row>
    <row r="103" ht="30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</row>
    <row r="104" ht="30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</row>
    <row r="105" ht="30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</row>
    <row r="106" ht="30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</row>
    <row r="107" ht="30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</row>
    <row r="108" ht="30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</row>
    <row r="109" ht="30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</row>
    <row r="110" ht="30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</row>
    <row r="111" ht="30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</row>
    <row r="112" ht="30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</row>
    <row r="113" ht="30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</row>
    <row r="114" ht="30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</row>
    <row r="115" ht="30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</row>
    <row r="116" ht="30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</row>
    <row r="117" ht="30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</row>
    <row r="118" ht="30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</row>
    <row r="119" ht="30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</row>
    <row r="120" ht="30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</row>
    <row r="121" ht="30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</row>
    <row r="122" ht="30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</row>
    <row r="123" ht="30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</row>
    <row r="124" ht="30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</row>
    <row r="125" ht="30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</row>
    <row r="126" ht="30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</row>
    <row r="127" ht="30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</row>
    <row r="128" ht="30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</row>
    <row r="129" ht="30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</row>
    <row r="130" ht="30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</row>
    <row r="131" ht="30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</row>
    <row r="132" ht="30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</row>
    <row r="133" ht="30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</row>
    <row r="134" ht="30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</row>
    <row r="135" ht="30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</row>
    <row r="136" ht="30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</row>
    <row r="137" ht="30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</row>
    <row r="138" ht="30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</row>
    <row r="139" ht="30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</row>
    <row r="140" ht="30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</row>
    <row r="141" ht="30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</row>
    <row r="142" ht="30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</row>
    <row r="143" ht="30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</row>
    <row r="144" ht="30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</row>
    <row r="145" ht="30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</row>
    <row r="146" ht="30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</row>
    <row r="147" ht="30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</row>
    <row r="148" ht="30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</row>
    <row r="149" ht="30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</row>
    <row r="150" ht="30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</row>
    <row r="151" ht="30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</row>
    <row r="152" ht="30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</row>
    <row r="153" ht="30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</row>
    <row r="154" ht="30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</row>
    <row r="155" ht="30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</row>
    <row r="156" ht="30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</row>
    <row r="157" ht="30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</row>
    <row r="158" ht="30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</row>
    <row r="159" ht="30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</row>
    <row r="160" ht="30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</row>
    <row r="161" ht="30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</row>
    <row r="162" ht="30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</row>
    <row r="163" ht="30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</row>
    <row r="164" ht="30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</row>
    <row r="165" ht="30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</row>
    <row r="166" ht="30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</row>
    <row r="167" ht="30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</row>
    <row r="168" ht="30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</row>
    <row r="169" ht="30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</row>
    <row r="170" ht="30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</row>
    <row r="171" ht="30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</row>
    <row r="172" ht="30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</row>
    <row r="173" ht="30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</row>
    <row r="174" ht="30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</row>
    <row r="175" ht="30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</row>
    <row r="176" ht="30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</row>
    <row r="177" ht="30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</row>
    <row r="178" ht="30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</row>
    <row r="179" ht="30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</row>
    <row r="180" ht="30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</row>
    <row r="181" ht="30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</row>
    <row r="182" ht="30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</row>
    <row r="183" ht="30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</row>
    <row r="184" ht="30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</row>
    <row r="185" ht="30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</row>
    <row r="186" ht="30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</row>
    <row r="187" ht="30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</row>
    <row r="188" ht="30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</row>
    <row r="189" ht="30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</row>
    <row r="190" ht="30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</row>
    <row r="191" ht="30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</row>
    <row r="192" ht="30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</row>
    <row r="193" ht="30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</row>
    <row r="194" ht="30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</row>
    <row r="195" ht="30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</row>
    <row r="196" ht="30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</row>
    <row r="197" ht="30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</row>
    <row r="198" ht="30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</row>
    <row r="199" ht="30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</row>
    <row r="200" ht="30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</row>
    <row r="201" ht="30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</row>
    <row r="202" ht="30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</row>
    <row r="203" ht="30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</row>
    <row r="204" ht="30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</row>
    <row r="205" ht="30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</row>
    <row r="206" ht="30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</row>
    <row r="207" ht="30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</row>
    <row r="208" ht="30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</row>
    <row r="209" ht="30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</row>
    <row r="210" ht="30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</row>
    <row r="211" ht="30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</row>
    <row r="212" ht="30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</row>
    <row r="213" ht="30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</row>
    <row r="214" ht="30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</row>
    <row r="215" ht="30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</row>
    <row r="216" ht="30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</row>
    <row r="217" ht="30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</row>
    <row r="218" ht="30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</row>
    <row r="219" ht="30.75" customHeight="1"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location="gid=821020801" ref="B12"/>
    <hyperlink r:id="rId2" ref="B13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09" t="s">
        <v>105</v>
      </c>
      <c r="B1" s="56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</row>
    <row r="2" ht="27.0" customHeight="1">
      <c r="A2" s="311" t="s">
        <v>7</v>
      </c>
      <c r="B2" s="311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</row>
    <row r="3" ht="27.0" customHeight="1">
      <c r="A3" s="312" t="s">
        <v>107</v>
      </c>
      <c r="B3" s="312" t="s">
        <v>167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</row>
    <row r="4" ht="27.0" customHeight="1">
      <c r="A4" s="312" t="s">
        <v>109</v>
      </c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 ht="27.0" customHeight="1">
      <c r="A5" s="312" t="s">
        <v>111</v>
      </c>
      <c r="B5" s="312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</row>
    <row r="6" ht="27.0" customHeight="1">
      <c r="A6" s="313" t="s">
        <v>113</v>
      </c>
      <c r="B6" s="314">
        <f>'CE (ООО)'!X67</f>
        <v>0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</row>
    <row r="7" ht="27.0" customHeight="1">
      <c r="A7" s="315" t="s">
        <v>114</v>
      </c>
      <c r="B7" s="314">
        <f>'CE (ООО)'!AA67</f>
        <v>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</row>
    <row r="8" ht="27.0" customHeight="1">
      <c r="A8" s="312" t="s">
        <v>168</v>
      </c>
      <c r="B8" s="314">
        <f>'CE (ООО)'!M67</f>
        <v>0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</row>
    <row r="9" ht="27.0" customHeight="1">
      <c r="A9" s="312" t="s">
        <v>169</v>
      </c>
      <c r="B9" s="314">
        <f>'CE (ООО)'!M69</f>
        <v>0</v>
      </c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</row>
    <row r="10" ht="27.0" customHeight="1">
      <c r="A10" s="313" t="s">
        <v>116</v>
      </c>
      <c r="B10" s="316" t="str">
        <f>(B8-B6)/B8</f>
        <v>#DIV/0!</v>
      </c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</row>
    <row r="11" ht="27.0" customHeight="1">
      <c r="A11" s="315" t="s">
        <v>117</v>
      </c>
      <c r="B11" s="316" t="str">
        <f>'CE (ООО)'!AA72</f>
        <v>#DIV/0!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</row>
    <row r="12" ht="27.0" customHeight="1">
      <c r="A12" s="312" t="s">
        <v>118</v>
      </c>
      <c r="B12" s="32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</row>
    <row r="13" ht="27.0" customHeight="1">
      <c r="A13" s="312" t="s">
        <v>120</v>
      </c>
      <c r="B13" s="327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27.0" customHeight="1">
      <c r="A14" s="312" t="s">
        <v>122</v>
      </c>
      <c r="B14" s="327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</row>
    <row r="15" ht="27.0" customHeight="1">
      <c r="A15" s="319" t="s">
        <v>124</v>
      </c>
      <c r="B15" s="32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</row>
    <row r="16" ht="27.0" customHeight="1">
      <c r="A16" s="312" t="s">
        <v>125</v>
      </c>
      <c r="B16" s="320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</row>
    <row r="17" ht="27.0" customHeight="1">
      <c r="A17" s="312" t="s">
        <v>127</v>
      </c>
      <c r="B17" s="320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</row>
    <row r="18" ht="27.0" customHeight="1">
      <c r="A18" s="312" t="s">
        <v>128</v>
      </c>
      <c r="B18" s="312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</row>
    <row r="19" ht="27.0" customHeight="1">
      <c r="A19" s="312" t="s">
        <v>130</v>
      </c>
      <c r="B19" s="322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</row>
    <row r="20" ht="27.0" customHeight="1">
      <c r="A20" s="312" t="s">
        <v>132</v>
      </c>
      <c r="B20" s="328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</row>
    <row r="21" ht="27.0" customHeight="1">
      <c r="A21" s="312" t="s">
        <v>133</v>
      </c>
      <c r="B21" s="322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</row>
    <row r="22" ht="27.0" customHeight="1">
      <c r="A22" s="312" t="s">
        <v>135</v>
      </c>
      <c r="B22" s="322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</row>
    <row r="23" ht="27.0" customHeight="1">
      <c r="A23" s="312" t="s">
        <v>136</v>
      </c>
      <c r="B23" s="322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</row>
    <row r="24" ht="27.0" customHeight="1">
      <c r="A24" s="312" t="s">
        <v>137</v>
      </c>
      <c r="B24" s="322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</row>
    <row r="25" ht="27.0" customHeight="1">
      <c r="A25" s="312" t="s">
        <v>138</v>
      </c>
      <c r="B25" s="322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</row>
    <row r="26" ht="27.0" customHeight="1">
      <c r="A26" s="312" t="s">
        <v>140</v>
      </c>
      <c r="B26" s="322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</row>
    <row r="27" ht="27.0" customHeight="1">
      <c r="A27" s="312" t="s">
        <v>141</v>
      </c>
      <c r="B27" s="322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</row>
    <row r="28" ht="27.0" customHeight="1">
      <c r="A28" s="312" t="s">
        <v>142</v>
      </c>
      <c r="B28" s="322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</row>
    <row r="29" ht="27.0" customHeight="1">
      <c r="A29" s="312" t="s">
        <v>160</v>
      </c>
      <c r="B29" s="322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</row>
    <row r="30" ht="27.0" customHeight="1">
      <c r="A30" s="312" t="s">
        <v>144</v>
      </c>
      <c r="B30" s="322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</row>
    <row r="31" ht="27.0" customHeight="1">
      <c r="A31" s="312" t="s">
        <v>146</v>
      </c>
      <c r="B31" s="322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</row>
    <row r="32" ht="27.0" customHeight="1">
      <c r="A32" s="312" t="s">
        <v>147</v>
      </c>
      <c r="B32" s="322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</row>
    <row r="33" ht="27.0" customHeight="1">
      <c r="A33" s="312" t="s">
        <v>149</v>
      </c>
      <c r="B33" s="322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</row>
    <row r="34" ht="27.0" customHeight="1">
      <c r="A34" s="312" t="s">
        <v>151</v>
      </c>
      <c r="B34" s="322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</row>
    <row r="35" ht="27.0" customHeight="1">
      <c r="A35" s="319" t="s">
        <v>153</v>
      </c>
      <c r="B35" s="322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</row>
    <row r="36" ht="27.0" customHeight="1">
      <c r="A36" s="312" t="s">
        <v>125</v>
      </c>
      <c r="B36" s="322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</row>
    <row r="37" ht="27.0" customHeight="1">
      <c r="A37" s="312" t="s">
        <v>127</v>
      </c>
      <c r="B37" s="322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</row>
    <row r="38" ht="27.0" customHeight="1">
      <c r="A38" s="312" t="s">
        <v>128</v>
      </c>
      <c r="B38" s="322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</row>
    <row r="39" ht="27.0" customHeight="1">
      <c r="A39" s="312" t="s">
        <v>130</v>
      </c>
      <c r="B39" s="322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</row>
    <row r="40" ht="27.0" customHeight="1">
      <c r="A40" s="312" t="s">
        <v>154</v>
      </c>
      <c r="B40" s="322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</row>
    <row r="41" ht="27.0" customHeight="1">
      <c r="A41" s="312" t="s">
        <v>146</v>
      </c>
      <c r="B41" s="322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</row>
    <row r="42" ht="27.0" customHeight="1">
      <c r="A42" s="312" t="s">
        <v>147</v>
      </c>
      <c r="B42" s="322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</row>
    <row r="43" ht="27.0" customHeight="1">
      <c r="A43" s="312" t="s">
        <v>149</v>
      </c>
      <c r="B43" s="322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</row>
    <row r="44" ht="27.0" customHeight="1">
      <c r="A44" s="312" t="s">
        <v>151</v>
      </c>
      <c r="B44" s="322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</row>
    <row r="45" ht="27.0" customHeight="1">
      <c r="A45" s="319" t="s">
        <v>155</v>
      </c>
      <c r="B45" s="322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</row>
    <row r="46" ht="27.0" customHeight="1">
      <c r="A46" s="312" t="s">
        <v>127</v>
      </c>
      <c r="B46" s="322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  <row r="47" ht="27.0" customHeight="1">
      <c r="A47" s="312" t="s">
        <v>128</v>
      </c>
      <c r="B47" s="322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</row>
    <row r="48" ht="27.0" customHeight="1">
      <c r="A48" s="312" t="s">
        <v>130</v>
      </c>
      <c r="B48" s="322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</row>
    <row r="49" ht="27.0" customHeight="1">
      <c r="A49" s="312" t="s">
        <v>156</v>
      </c>
      <c r="B49" s="322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</row>
    <row r="50" ht="27.0" customHeight="1">
      <c r="A50" s="312" t="s">
        <v>157</v>
      </c>
      <c r="B50" s="322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</row>
    <row r="51" ht="27.0" customHeight="1">
      <c r="A51" s="312" t="s">
        <v>158</v>
      </c>
      <c r="B51" s="322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</row>
    <row r="52" ht="27.0" customHeight="1">
      <c r="A52" s="312" t="s">
        <v>159</v>
      </c>
      <c r="B52" s="322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</row>
    <row r="53" ht="27.0" customHeight="1">
      <c r="A53" s="312" t="s">
        <v>146</v>
      </c>
      <c r="B53" s="322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</row>
    <row r="54" ht="27.0" customHeight="1">
      <c r="A54" s="312" t="s">
        <v>170</v>
      </c>
      <c r="B54" s="322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</row>
    <row r="55" ht="27.0" customHeight="1">
      <c r="A55" s="312" t="s">
        <v>149</v>
      </c>
      <c r="B55" s="322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</row>
    <row r="56" ht="27.0" customHeight="1">
      <c r="A56" s="312" t="s">
        <v>151</v>
      </c>
      <c r="B56" s="322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</row>
    <row r="57" ht="27.0" customHeight="1">
      <c r="A57" s="319" t="s">
        <v>142</v>
      </c>
      <c r="B57" s="322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</row>
    <row r="58" ht="27.0" customHeight="1">
      <c r="A58" s="312" t="s">
        <v>160</v>
      </c>
      <c r="B58" s="322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</row>
    <row r="59" ht="27.0" customHeight="1">
      <c r="A59" s="312" t="s">
        <v>144</v>
      </c>
      <c r="B59" s="322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</row>
    <row r="60" ht="27.0" customHeight="1">
      <c r="A60" s="312" t="s">
        <v>161</v>
      </c>
      <c r="B60" s="322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</row>
    <row r="61" ht="27.0" customHeight="1">
      <c r="A61" s="312" t="s">
        <v>162</v>
      </c>
      <c r="B61" s="322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</row>
    <row r="62" ht="27.0" customHeight="1">
      <c r="A62" s="312" t="s">
        <v>164</v>
      </c>
      <c r="B62" s="322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</row>
    <row r="63" ht="27.0" customHeight="1">
      <c r="A63" s="312" t="s">
        <v>165</v>
      </c>
      <c r="B63" s="322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</row>
    <row r="64" ht="27.0" customHeight="1">
      <c r="A64" s="312" t="s">
        <v>166</v>
      </c>
      <c r="B64" s="322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</row>
    <row r="65" ht="30.75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</row>
    <row r="66" ht="30.75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</row>
    <row r="67" ht="30.75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</row>
    <row r="68" ht="30.75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</row>
    <row r="69" ht="30.75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</row>
    <row r="70" ht="30.75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</row>
    <row r="71" ht="30.75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</row>
    <row r="72" ht="30.75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</row>
    <row r="73" ht="30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</row>
    <row r="74" ht="30.75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</row>
    <row r="75" ht="30.75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</row>
    <row r="76" ht="30.75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</row>
    <row r="77" ht="30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</row>
    <row r="78" ht="30.75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</row>
    <row r="79" ht="30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</row>
    <row r="80" ht="30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</row>
    <row r="81" ht="30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</row>
    <row r="82" ht="30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</row>
    <row r="83" ht="30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</row>
    <row r="84" ht="30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</row>
    <row r="85" ht="30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</row>
    <row r="86" ht="30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</row>
    <row r="87" ht="30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</row>
    <row r="88" ht="30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</row>
    <row r="89" ht="30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</row>
    <row r="90" ht="30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</row>
    <row r="91" ht="30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</row>
    <row r="92" ht="30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</row>
    <row r="93" ht="30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</row>
    <row r="94" ht="30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</row>
    <row r="95" ht="30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</row>
    <row r="96" ht="30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</row>
    <row r="97" ht="30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</row>
    <row r="98" ht="30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</row>
    <row r="99" ht="30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</row>
    <row r="100" ht="30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</row>
    <row r="101" ht="30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</row>
    <row r="102" ht="30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</row>
    <row r="103" ht="30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</row>
    <row r="104" ht="30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</row>
    <row r="105" ht="30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</row>
    <row r="106" ht="30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</row>
    <row r="107" ht="30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</row>
    <row r="108" ht="30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</row>
    <row r="109" ht="30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</row>
    <row r="110" ht="30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</row>
    <row r="111" ht="30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</row>
    <row r="112" ht="30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</row>
    <row r="113" ht="30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</row>
    <row r="114" ht="30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</row>
    <row r="115" ht="30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</row>
    <row r="116" ht="30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</row>
    <row r="117" ht="30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</row>
    <row r="118" ht="30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</row>
    <row r="119" ht="30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</row>
    <row r="120" ht="30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</row>
    <row r="121" ht="30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</row>
    <row r="122" ht="30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</row>
    <row r="123" ht="30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</row>
    <row r="124" ht="30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</row>
    <row r="125" ht="30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</row>
    <row r="126" ht="30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</row>
    <row r="127" ht="30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</row>
    <row r="128" ht="30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</row>
    <row r="129" ht="30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</row>
    <row r="130" ht="30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</row>
    <row r="131" ht="30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</row>
    <row r="132" ht="30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</row>
    <row r="133" ht="30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</row>
    <row r="134" ht="30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</row>
    <row r="135" ht="30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</row>
    <row r="136" ht="30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</row>
    <row r="137" ht="30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</row>
    <row r="138" ht="30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</row>
    <row r="139" ht="30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</row>
    <row r="140" ht="30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</row>
    <row r="141" ht="30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</row>
    <row r="142" ht="30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</row>
    <row r="143" ht="30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</row>
    <row r="144" ht="30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</row>
    <row r="145" ht="30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</row>
    <row r="146" ht="30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</row>
    <row r="147" ht="30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</row>
    <row r="148" ht="30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</row>
    <row r="149" ht="30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</row>
    <row r="150" ht="30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</row>
    <row r="151" ht="30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</row>
    <row r="152" ht="30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</row>
    <row r="153" ht="30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</row>
    <row r="154" ht="30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</row>
    <row r="155" ht="30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</row>
    <row r="156" ht="30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</row>
    <row r="157" ht="30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</row>
    <row r="158" ht="30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</row>
    <row r="159" ht="30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</row>
    <row r="160" ht="30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</row>
    <row r="161" ht="30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</row>
    <row r="162" ht="30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</row>
    <row r="163" ht="30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</row>
    <row r="164" ht="30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</row>
    <row r="165" ht="30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</row>
    <row r="166" ht="30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</row>
    <row r="167" ht="30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</row>
    <row r="168" ht="30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</row>
    <row r="169" ht="30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</row>
    <row r="170" ht="30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</row>
    <row r="171" ht="30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</row>
    <row r="172" ht="30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</row>
    <row r="173" ht="30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</row>
    <row r="174" ht="30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</row>
    <row r="175" ht="30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</row>
    <row r="176" ht="30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</row>
    <row r="177" ht="30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</row>
    <row r="178" ht="30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</row>
    <row r="179" ht="30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</row>
    <row r="180" ht="30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</row>
    <row r="181" ht="30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</row>
    <row r="182" ht="30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</row>
    <row r="183" ht="30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</row>
    <row r="184" ht="30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</row>
    <row r="185" ht="30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</row>
    <row r="186" ht="30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</row>
    <row r="187" ht="30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</row>
    <row r="188" ht="30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</row>
    <row r="189" ht="30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</row>
    <row r="190" ht="30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</row>
    <row r="191" ht="30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</row>
    <row r="192" ht="30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</row>
    <row r="193" ht="30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</row>
    <row r="194" ht="30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</row>
    <row r="195" ht="30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</row>
    <row r="196" ht="30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</row>
    <row r="197" ht="30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</row>
    <row r="198" ht="30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</row>
    <row r="199" ht="30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</row>
    <row r="200" ht="30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</row>
    <row r="201" ht="30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</row>
    <row r="202" ht="30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</row>
    <row r="203" ht="30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</row>
    <row r="204" ht="30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</row>
    <row r="205" ht="30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</row>
    <row r="206" ht="30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</row>
    <row r="207" ht="30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</row>
    <row r="208" ht="30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</row>
    <row r="209" ht="30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</row>
    <row r="210" ht="30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</row>
    <row r="211" ht="30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</row>
    <row r="212" ht="30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</row>
    <row r="213" ht="30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</row>
    <row r="214" ht="30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</row>
    <row r="215" ht="30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</row>
    <row r="216" ht="30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</row>
    <row r="217" ht="30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</row>
    <row r="218" ht="30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</row>
    <row r="219" ht="30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</row>
    <row r="220" ht="30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</row>
    <row r="221" ht="30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</row>
    <row r="222" ht="30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</row>
    <row r="223" ht="30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</row>
    <row r="224" ht="30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</row>
    <row r="225" ht="30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</row>
    <row r="226" ht="30.75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</row>
    <row r="227" ht="30.75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</row>
    <row r="228" ht="30.75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</row>
    <row r="229" ht="30.75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</row>
    <row r="230" ht="30.75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</row>
    <row r="231" ht="30.75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</row>
    <row r="232" ht="30.75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</row>
    <row r="233" ht="30.75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</row>
    <row r="234" ht="30.75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</row>
    <row r="235" ht="30.75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</row>
    <row r="236" ht="30.75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</row>
    <row r="237" ht="30.75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</row>
    <row r="238" ht="30.75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</row>
    <row r="239" ht="30.75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</row>
    <row r="240" ht="30.75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</row>
    <row r="241" ht="30.75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</row>
    <row r="242" ht="30.75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</row>
    <row r="243" ht="30.75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</row>
    <row r="244" ht="30.75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</row>
    <row r="245" ht="30.75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09" t="s">
        <v>105</v>
      </c>
      <c r="B1" s="56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</row>
    <row r="2" ht="27.0" customHeight="1">
      <c r="A2" s="313" t="s">
        <v>113</v>
      </c>
      <c r="B2" s="314">
        <f>'CE (ООО)'!X67</f>
        <v>0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</row>
    <row r="3" ht="27.0" customHeight="1">
      <c r="A3" s="315" t="s">
        <v>114</v>
      </c>
      <c r="B3" s="314">
        <f>'CE (ООО)'!AA67</f>
        <v>0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</row>
    <row r="4" ht="27.0" customHeight="1">
      <c r="A4" s="312" t="s">
        <v>168</v>
      </c>
      <c r="B4" s="314">
        <f>'CE (ООО)'!M67</f>
        <v>0</v>
      </c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</row>
    <row r="5" ht="27.0" customHeight="1">
      <c r="A5" s="312" t="s">
        <v>169</v>
      </c>
      <c r="B5" s="314">
        <f>'CE (ООО)'!M69</f>
        <v>0</v>
      </c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</row>
    <row r="6" ht="27.0" customHeight="1">
      <c r="A6" s="313" t="s">
        <v>116</v>
      </c>
      <c r="B6" s="316" t="str">
        <f>(B4-B2)/B4</f>
        <v>#DIV/0!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</row>
    <row r="7" ht="27.0" customHeight="1">
      <c r="A7" s="315" t="s">
        <v>117</v>
      </c>
      <c r="B7" s="316" t="str">
        <f>'CE (ООО)'!AA72</f>
        <v>#DIV/0!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</row>
    <row r="8" ht="27.0" customHeight="1">
      <c r="A8" s="312" t="s">
        <v>118</v>
      </c>
      <c r="B8" s="32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</row>
    <row r="9" ht="27.0" customHeight="1">
      <c r="A9" s="312" t="s">
        <v>171</v>
      </c>
      <c r="B9" s="312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</row>
    <row r="10" ht="27.0" customHeight="1">
      <c r="A10" s="312" t="s">
        <v>172</v>
      </c>
      <c r="B10" s="322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</row>
    <row r="11" ht="27.0" customHeight="1">
      <c r="A11" s="311" t="s">
        <v>173</v>
      </c>
      <c r="B11" s="322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</row>
    <row r="12" ht="27.0" customHeight="1">
      <c r="A12" s="312" t="s">
        <v>174</v>
      </c>
      <c r="B12" s="322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</row>
    <row r="13" ht="27.0" customHeight="1">
      <c r="A13" s="312" t="s">
        <v>138</v>
      </c>
      <c r="B13" s="322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</row>
    <row r="14" ht="27.0" customHeight="1">
      <c r="A14" s="312" t="s">
        <v>140</v>
      </c>
      <c r="B14" s="322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</row>
    <row r="15" ht="27.0" customHeight="1">
      <c r="A15" s="312" t="s">
        <v>141</v>
      </c>
      <c r="B15" s="322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</row>
    <row r="16" ht="27.0" customHeight="1">
      <c r="A16" s="312" t="s">
        <v>142</v>
      </c>
      <c r="B16" s="322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</row>
    <row r="17" ht="27.0" customHeight="1">
      <c r="A17" s="312" t="s">
        <v>160</v>
      </c>
      <c r="B17" s="322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</row>
    <row r="18" ht="27.0" customHeight="1">
      <c r="A18" s="312" t="s">
        <v>144</v>
      </c>
      <c r="B18" s="322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</row>
    <row r="19" ht="27.0" customHeight="1">
      <c r="A19" s="311" t="s">
        <v>146</v>
      </c>
      <c r="B19" s="322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</row>
    <row r="20" ht="27.0" customHeight="1">
      <c r="A20" s="312" t="s">
        <v>175</v>
      </c>
      <c r="B20" s="322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</row>
    <row r="21" ht="27.0" customHeight="1">
      <c r="A21" s="312" t="s">
        <v>147</v>
      </c>
      <c r="B21" s="322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</row>
    <row r="22" ht="27.0" customHeight="1">
      <c r="A22" s="312" t="s">
        <v>149</v>
      </c>
      <c r="B22" s="322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</row>
    <row r="23" ht="27.0" customHeight="1">
      <c r="A23" s="312" t="s">
        <v>151</v>
      </c>
      <c r="B23" s="322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</row>
    <row r="24" ht="27.0" customHeight="1">
      <c r="A24" s="319" t="s">
        <v>153</v>
      </c>
      <c r="B24" s="322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</row>
    <row r="25" ht="27.0" customHeight="1">
      <c r="A25" s="312" t="s">
        <v>130</v>
      </c>
      <c r="B25" s="322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</row>
    <row r="26" ht="27.0" customHeight="1">
      <c r="A26" s="312" t="s">
        <v>154</v>
      </c>
      <c r="B26" s="322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</row>
    <row r="27" ht="27.0" customHeight="1">
      <c r="A27" s="312" t="s">
        <v>146</v>
      </c>
      <c r="B27" s="322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</row>
    <row r="28" ht="27.0" customHeight="1">
      <c r="A28" s="312" t="s">
        <v>175</v>
      </c>
      <c r="B28" s="322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</row>
    <row r="29" ht="27.0" customHeight="1">
      <c r="A29" s="312" t="s">
        <v>147</v>
      </c>
      <c r="B29" s="322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</row>
    <row r="30" ht="27.0" customHeight="1">
      <c r="A30" s="312" t="s">
        <v>149</v>
      </c>
      <c r="B30" s="322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</row>
    <row r="31" ht="27.0" customHeight="1">
      <c r="A31" s="312" t="s">
        <v>151</v>
      </c>
      <c r="B31" s="322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</row>
    <row r="32" ht="27.0" customHeight="1">
      <c r="A32" s="319" t="s">
        <v>155</v>
      </c>
      <c r="B32" s="322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</row>
    <row r="33" ht="27.0" customHeight="1">
      <c r="A33" s="312" t="s">
        <v>130</v>
      </c>
      <c r="B33" s="322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</row>
    <row r="34" ht="27.0" customHeight="1">
      <c r="A34" s="312" t="s">
        <v>128</v>
      </c>
      <c r="B34" s="322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</row>
    <row r="35" ht="27.0" customHeight="1">
      <c r="A35" s="312" t="s">
        <v>130</v>
      </c>
      <c r="B35" s="322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</row>
    <row r="36" ht="27.0" customHeight="1">
      <c r="A36" s="312" t="s">
        <v>156</v>
      </c>
      <c r="B36" s="322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</row>
    <row r="37" ht="27.0" customHeight="1">
      <c r="A37" s="312" t="s">
        <v>157</v>
      </c>
      <c r="B37" s="322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</row>
    <row r="38" ht="27.0" customHeight="1">
      <c r="A38" s="312" t="s">
        <v>158</v>
      </c>
      <c r="B38" s="322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</row>
    <row r="39" ht="27.0" customHeight="1">
      <c r="A39" s="312" t="s">
        <v>159</v>
      </c>
      <c r="B39" s="322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</row>
    <row r="40" ht="27.0" customHeight="1">
      <c r="A40" s="312" t="s">
        <v>146</v>
      </c>
      <c r="B40" s="322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</row>
    <row r="41" ht="27.0" customHeight="1">
      <c r="A41" s="312" t="s">
        <v>147</v>
      </c>
      <c r="B41" s="322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</row>
    <row r="42" ht="27.0" customHeight="1">
      <c r="A42" s="312" t="s">
        <v>175</v>
      </c>
      <c r="B42" s="322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</row>
    <row r="43" ht="27.0" customHeight="1">
      <c r="A43" s="312" t="s">
        <v>149</v>
      </c>
      <c r="B43" s="322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</row>
    <row r="44" ht="27.0" customHeight="1">
      <c r="A44" s="312" t="s">
        <v>151</v>
      </c>
      <c r="B44" s="322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</row>
    <row r="45" ht="30.75" customHeight="1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</row>
    <row r="46" ht="30.75" customHeight="1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</row>
    <row r="47" ht="30.75" customHeight="1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</row>
    <row r="48" ht="30.75" customHeight="1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</row>
    <row r="49" ht="30.75" customHeight="1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</row>
    <row r="50" ht="30.75" customHeight="1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</row>
    <row r="51" ht="30.75" customHeight="1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</row>
    <row r="52" ht="30.75" customHeight="1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</row>
    <row r="53" ht="30.75" customHeight="1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</row>
    <row r="54" ht="30.75" customHeight="1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</row>
    <row r="55" ht="30.75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</row>
    <row r="56" ht="30.75" customHeight="1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</row>
    <row r="57" ht="30.75" customHeight="1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</row>
    <row r="58" ht="30.75" customHeight="1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</row>
    <row r="59" ht="30.75" customHeight="1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</row>
    <row r="60" ht="30.75" customHeight="1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</row>
    <row r="61" ht="30.75" customHeight="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</row>
    <row r="62" ht="30.75" customHeight="1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</row>
    <row r="63" ht="30.75" customHeight="1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</row>
    <row r="64" ht="30.75" customHeight="1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</row>
    <row r="65" ht="30.75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</row>
    <row r="66" ht="30.75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</row>
    <row r="67" ht="30.75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</row>
    <row r="68" ht="30.75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</row>
    <row r="69" ht="30.75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</row>
    <row r="70" ht="30.75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</row>
    <row r="71" ht="30.75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</row>
    <row r="72" ht="30.75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</row>
    <row r="73" ht="30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</row>
    <row r="74" ht="30.75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</row>
    <row r="75" ht="30.75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</row>
    <row r="76" ht="30.75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</row>
    <row r="77" ht="30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</row>
    <row r="78" ht="30.75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</row>
    <row r="79" ht="30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</row>
    <row r="80" ht="30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</row>
    <row r="81" ht="30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</row>
    <row r="82" ht="30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</row>
    <row r="83" ht="30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</row>
    <row r="84" ht="30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</row>
    <row r="85" ht="30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</row>
    <row r="86" ht="30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</row>
    <row r="87" ht="30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</row>
    <row r="88" ht="30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</row>
    <row r="89" ht="30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</row>
    <row r="90" ht="30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</row>
    <row r="91" ht="30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</row>
    <row r="92" ht="30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</row>
    <row r="93" ht="30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</row>
    <row r="94" ht="30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</row>
    <row r="95" ht="30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</row>
    <row r="96" ht="30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</row>
    <row r="97" ht="30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</row>
    <row r="98" ht="30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</row>
    <row r="99" ht="30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</row>
    <row r="100" ht="30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</row>
    <row r="101" ht="30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</row>
    <row r="102" ht="30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</row>
    <row r="103" ht="30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</row>
    <row r="104" ht="30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</row>
    <row r="105" ht="30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</row>
    <row r="106" ht="30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</row>
    <row r="107" ht="30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</row>
    <row r="108" ht="30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</row>
    <row r="109" ht="30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</row>
    <row r="110" ht="30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</row>
    <row r="111" ht="30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</row>
    <row r="112" ht="30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</row>
    <row r="113" ht="30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</row>
    <row r="114" ht="30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</row>
    <row r="115" ht="30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</row>
    <row r="116" ht="30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</row>
    <row r="117" ht="30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</row>
    <row r="118" ht="30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</row>
    <row r="119" ht="30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</row>
    <row r="120" ht="30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</row>
    <row r="121" ht="30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</row>
    <row r="122" ht="30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</row>
    <row r="123" ht="30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</row>
    <row r="124" ht="30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</row>
    <row r="125" ht="30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</row>
    <row r="126" ht="30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</row>
    <row r="127" ht="30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</row>
    <row r="128" ht="30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</row>
    <row r="129" ht="30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</row>
    <row r="130" ht="30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</row>
    <row r="131" ht="30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</row>
    <row r="132" ht="30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</row>
    <row r="133" ht="30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</row>
    <row r="134" ht="30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</row>
    <row r="135" ht="30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</row>
    <row r="136" ht="30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</row>
    <row r="137" ht="30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</row>
    <row r="138" ht="30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</row>
    <row r="139" ht="30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</row>
    <row r="140" ht="30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</row>
    <row r="141" ht="30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</row>
    <row r="142" ht="30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</row>
    <row r="143" ht="30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</row>
    <row r="144" ht="30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</row>
    <row r="145" ht="30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</row>
    <row r="146" ht="30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</row>
    <row r="147" ht="30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</row>
    <row r="148" ht="30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</row>
    <row r="149" ht="30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</row>
    <row r="150" ht="30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</row>
    <row r="151" ht="30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</row>
    <row r="152" ht="30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</row>
    <row r="153" ht="30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</row>
    <row r="154" ht="30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</row>
    <row r="155" ht="30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</row>
    <row r="156" ht="30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</row>
    <row r="157" ht="30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</row>
    <row r="158" ht="30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</row>
    <row r="159" ht="30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</row>
    <row r="160" ht="30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</row>
    <row r="161" ht="30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</row>
    <row r="162" ht="30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</row>
    <row r="163" ht="30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</row>
    <row r="164" ht="30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</row>
    <row r="165" ht="30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</row>
    <row r="166" ht="30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</row>
    <row r="167" ht="30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</row>
    <row r="168" ht="30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</row>
    <row r="169" ht="30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</row>
    <row r="170" ht="30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</row>
    <row r="171" ht="30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</row>
    <row r="172" ht="30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</row>
    <row r="173" ht="30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</row>
    <row r="174" ht="30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</row>
    <row r="175" ht="30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</row>
    <row r="176" ht="30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</row>
    <row r="177" ht="30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</row>
    <row r="178" ht="30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</row>
    <row r="179" ht="30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</row>
    <row r="180" ht="30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</row>
    <row r="181" ht="30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</row>
    <row r="182" ht="30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</row>
    <row r="183" ht="30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</row>
    <row r="184" ht="30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</row>
    <row r="185" ht="30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</row>
    <row r="186" ht="30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</row>
    <row r="187" ht="30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</row>
    <row r="188" ht="30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</row>
    <row r="189" ht="30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</row>
    <row r="190" ht="30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</row>
    <row r="191" ht="30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</row>
    <row r="192" ht="30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</row>
    <row r="193" ht="30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</row>
    <row r="194" ht="30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</row>
    <row r="195" ht="30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</row>
    <row r="196" ht="30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</row>
    <row r="197" ht="30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</row>
    <row r="198" ht="30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</row>
    <row r="199" ht="30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</row>
    <row r="200" ht="30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</row>
    <row r="201" ht="30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</row>
    <row r="202" ht="30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</row>
    <row r="203" ht="30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</row>
    <row r="204" ht="30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</row>
    <row r="205" ht="30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</row>
    <row r="206" ht="30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</row>
    <row r="207" ht="30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</row>
    <row r="208" ht="30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</row>
    <row r="209" ht="30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</row>
    <row r="210" ht="30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</row>
    <row r="211" ht="30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</row>
    <row r="212" ht="30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</row>
    <row r="213" ht="30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</row>
    <row r="214" ht="30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</row>
    <row r="215" ht="30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</row>
    <row r="216" ht="30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</row>
    <row r="217" ht="30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</row>
    <row r="218" ht="30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</row>
    <row r="219" ht="30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</row>
    <row r="220" ht="30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</row>
    <row r="221" ht="30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</row>
    <row r="222" ht="30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</row>
    <row r="223" ht="30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</row>
    <row r="224" ht="30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</row>
    <row r="225" ht="30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6.71"/>
    <col customWidth="1" min="3" max="3" width="11.57"/>
    <col customWidth="1" min="4" max="6" width="14.0"/>
    <col customWidth="1" min="7" max="7" width="12.29"/>
  </cols>
  <sheetData>
    <row r="1">
      <c r="A1" s="329" t="s">
        <v>176</v>
      </c>
      <c r="B1" s="330" t="s">
        <v>177</v>
      </c>
      <c r="C1" s="330" t="s">
        <v>178</v>
      </c>
      <c r="D1" s="330" t="s">
        <v>179</v>
      </c>
      <c r="E1" s="330" t="s">
        <v>180</v>
      </c>
      <c r="F1" s="330" t="s">
        <v>181</v>
      </c>
      <c r="G1" s="330" t="s">
        <v>182</v>
      </c>
      <c r="I1" s="331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</row>
    <row r="2">
      <c r="B2" s="333">
        <v>12.0</v>
      </c>
      <c r="C2" s="333">
        <v>0.0</v>
      </c>
      <c r="D2" s="333">
        <v>3.0</v>
      </c>
      <c r="E2" s="333">
        <v>4.0</v>
      </c>
      <c r="F2" s="333">
        <v>1.0</v>
      </c>
      <c r="G2" s="333">
        <v>0.0</v>
      </c>
      <c r="I2" s="331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</row>
    <row r="3">
      <c r="A3" s="331"/>
      <c r="I3" s="331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</row>
    <row r="4">
      <c r="A4" s="331"/>
      <c r="I4" s="331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</row>
    <row r="5">
      <c r="A5" s="334" t="s">
        <v>9</v>
      </c>
      <c r="B5" s="334" t="s">
        <v>183</v>
      </c>
      <c r="C5" s="335" t="s">
        <v>184</v>
      </c>
      <c r="G5" s="336" t="s">
        <v>185</v>
      </c>
      <c r="I5" s="331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</row>
    <row r="6">
      <c r="C6" s="335" t="s">
        <v>23</v>
      </c>
      <c r="D6" s="335" t="s">
        <v>186</v>
      </c>
      <c r="E6" s="335" t="s">
        <v>187</v>
      </c>
      <c r="F6" s="335" t="s">
        <v>188</v>
      </c>
      <c r="I6" s="331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</row>
    <row r="7">
      <c r="A7" s="337" t="s">
        <v>41</v>
      </c>
      <c r="B7" s="338">
        <v>16.0</v>
      </c>
      <c r="C7" s="338">
        <f>B2-B7</f>
        <v>-4</v>
      </c>
      <c r="D7" s="338">
        <f>C2</f>
        <v>0</v>
      </c>
      <c r="E7" s="338">
        <f t="shared" ref="E7:F7" si="1">F2</f>
        <v>1</v>
      </c>
      <c r="F7" s="338">
        <f t="shared" si="1"/>
        <v>0</v>
      </c>
      <c r="G7" s="339">
        <f t="shared" ref="G7:G9" si="3">C7+D7+E7+F7</f>
        <v>-3</v>
      </c>
      <c r="I7" s="331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</row>
    <row r="8">
      <c r="A8" s="337" t="s">
        <v>42</v>
      </c>
      <c r="B8" s="338">
        <v>16.0</v>
      </c>
      <c r="C8" s="338">
        <f>B2-B8</f>
        <v>-4</v>
      </c>
      <c r="D8" s="338">
        <f>C2</f>
        <v>0</v>
      </c>
      <c r="E8" s="338">
        <f t="shared" ref="E8:F8" si="2">F2</f>
        <v>1</v>
      </c>
      <c r="F8" s="338">
        <f t="shared" si="2"/>
        <v>0</v>
      </c>
      <c r="G8" s="339">
        <f t="shared" si="3"/>
        <v>-3</v>
      </c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</row>
    <row r="9">
      <c r="A9" s="337" t="s">
        <v>189</v>
      </c>
      <c r="B9" s="338">
        <v>12.0</v>
      </c>
      <c r="C9" s="338">
        <f>B2-B9</f>
        <v>0</v>
      </c>
      <c r="D9" s="338">
        <f>C2</f>
        <v>0</v>
      </c>
      <c r="E9" s="338">
        <f t="shared" ref="E9:F9" si="4">F2</f>
        <v>1</v>
      </c>
      <c r="F9" s="338">
        <f t="shared" si="4"/>
        <v>0</v>
      </c>
      <c r="G9" s="339">
        <f t="shared" si="3"/>
        <v>1</v>
      </c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</row>
    <row r="10">
      <c r="A10" s="332"/>
      <c r="B10" s="332"/>
      <c r="C10" s="332"/>
      <c r="D10" s="332"/>
      <c r="E10" s="332"/>
      <c r="F10" s="332"/>
      <c r="G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</row>
    <row r="11">
      <c r="A11" s="337" t="s">
        <v>190</v>
      </c>
      <c r="B11" s="338">
        <v>10.0</v>
      </c>
      <c r="C11" s="338">
        <f>B2-B11</f>
        <v>2</v>
      </c>
      <c r="D11" s="338">
        <f>C2</f>
        <v>0</v>
      </c>
      <c r="E11" s="338">
        <f t="shared" ref="E11:F11" si="5">F2</f>
        <v>1</v>
      </c>
      <c r="F11" s="338">
        <f t="shared" si="5"/>
        <v>0</v>
      </c>
      <c r="G11" s="339">
        <f t="shared" ref="G11:G16" si="7">C11+D11+E11+F11</f>
        <v>3</v>
      </c>
      <c r="H11" s="338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</row>
    <row r="12">
      <c r="A12" s="337" t="s">
        <v>191</v>
      </c>
      <c r="B12" s="338">
        <v>10.0</v>
      </c>
      <c r="C12" s="338">
        <f>B2-B12</f>
        <v>2</v>
      </c>
      <c r="D12" s="338">
        <f>D2</f>
        <v>3</v>
      </c>
      <c r="E12" s="338">
        <f t="shared" ref="E12:F12" si="6">F2</f>
        <v>1</v>
      </c>
      <c r="F12" s="338">
        <f t="shared" si="6"/>
        <v>0</v>
      </c>
      <c r="G12" s="339">
        <f t="shared" si="7"/>
        <v>6</v>
      </c>
      <c r="H12" s="331"/>
      <c r="I12" s="331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</row>
    <row r="13">
      <c r="A13" s="337" t="s">
        <v>192</v>
      </c>
      <c r="B13" s="338">
        <v>10.0</v>
      </c>
      <c r="C13" s="338">
        <f>B2-B13</f>
        <v>2</v>
      </c>
      <c r="D13" s="338">
        <f t="shared" ref="D13:F13" si="8">E2</f>
        <v>4</v>
      </c>
      <c r="E13" s="338">
        <f t="shared" si="8"/>
        <v>1</v>
      </c>
      <c r="F13" s="338">
        <f t="shared" si="8"/>
        <v>0</v>
      </c>
      <c r="G13" s="339">
        <f t="shared" si="7"/>
        <v>7</v>
      </c>
      <c r="I13" s="331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</row>
    <row r="14">
      <c r="A14" s="337" t="s">
        <v>193</v>
      </c>
      <c r="B14" s="338">
        <v>10.0</v>
      </c>
      <c r="C14" s="338">
        <f>B2-B14</f>
        <v>2</v>
      </c>
      <c r="D14" s="338">
        <f>D2</f>
        <v>3</v>
      </c>
      <c r="E14" s="338">
        <f t="shared" ref="E14:F14" si="9">F2</f>
        <v>1</v>
      </c>
      <c r="F14" s="338">
        <f t="shared" si="9"/>
        <v>0</v>
      </c>
      <c r="G14" s="339">
        <f t="shared" si="7"/>
        <v>6</v>
      </c>
      <c r="I14" s="331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</row>
    <row r="15">
      <c r="A15" s="337" t="s">
        <v>194</v>
      </c>
      <c r="B15" s="338">
        <v>8.0</v>
      </c>
      <c r="C15" s="338">
        <f>B2-B15</f>
        <v>4</v>
      </c>
      <c r="D15" s="338">
        <f>D2</f>
        <v>3</v>
      </c>
      <c r="E15" s="338">
        <f t="shared" ref="E15:F15" si="10">F2</f>
        <v>1</v>
      </c>
      <c r="F15" s="338">
        <f t="shared" si="10"/>
        <v>0</v>
      </c>
      <c r="G15" s="339">
        <f t="shared" si="7"/>
        <v>8</v>
      </c>
      <c r="I15" s="331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</row>
    <row r="16">
      <c r="A16" s="337" t="s">
        <v>195</v>
      </c>
      <c r="B16" s="338">
        <v>8.0</v>
      </c>
      <c r="C16" s="338">
        <f>B2-B16</f>
        <v>4</v>
      </c>
      <c r="D16" s="338">
        <f>D2</f>
        <v>3</v>
      </c>
      <c r="E16" s="338">
        <f t="shared" ref="E16:F16" si="11">F2</f>
        <v>1</v>
      </c>
      <c r="F16" s="338">
        <f t="shared" si="11"/>
        <v>0</v>
      </c>
      <c r="G16" s="339">
        <f t="shared" si="7"/>
        <v>8</v>
      </c>
      <c r="I16" s="331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</row>
    <row r="17">
      <c r="I17" s="331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</row>
    <row r="18">
      <c r="A18" s="337" t="s">
        <v>196</v>
      </c>
      <c r="B18" s="338">
        <v>10.0</v>
      </c>
      <c r="C18" s="338">
        <f>B2-B18</f>
        <v>2</v>
      </c>
      <c r="D18" s="338">
        <f>D2</f>
        <v>3</v>
      </c>
      <c r="E18" s="338">
        <f t="shared" ref="E18:F18" si="12">F2</f>
        <v>1</v>
      </c>
      <c r="F18" s="338">
        <f t="shared" si="12"/>
        <v>0</v>
      </c>
      <c r="G18" s="339">
        <f t="shared" ref="G18:G20" si="13">C18+D18+E18+F18</f>
        <v>6</v>
      </c>
      <c r="I18" s="331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</row>
    <row r="19">
      <c r="A19" s="337" t="s">
        <v>197</v>
      </c>
      <c r="B19" s="338">
        <v>8.0</v>
      </c>
      <c r="C19" s="338">
        <f>B2-B19</f>
        <v>4</v>
      </c>
      <c r="D19" s="338">
        <f>E2</f>
        <v>4</v>
      </c>
      <c r="E19" s="338">
        <f>F9</f>
        <v>0</v>
      </c>
      <c r="F19" s="338">
        <f>G2</f>
        <v>0</v>
      </c>
      <c r="G19" s="339">
        <f t="shared" si="13"/>
        <v>8</v>
      </c>
      <c r="I19" s="331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</row>
    <row r="20">
      <c r="A20" s="337" t="s">
        <v>198</v>
      </c>
      <c r="B20" s="338">
        <v>10.0</v>
      </c>
      <c r="C20" s="338">
        <f>B2-B20</f>
        <v>2</v>
      </c>
      <c r="D20" s="338">
        <f>D2</f>
        <v>3</v>
      </c>
      <c r="E20" s="338">
        <f t="shared" ref="E20:F20" si="14">F2</f>
        <v>1</v>
      </c>
      <c r="F20" s="338">
        <f t="shared" si="14"/>
        <v>0</v>
      </c>
      <c r="G20" s="339">
        <f t="shared" si="13"/>
        <v>6</v>
      </c>
      <c r="I20" s="331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</row>
    <row r="21" ht="15.75" customHeight="1">
      <c r="A21" s="332"/>
      <c r="B21" s="332"/>
      <c r="C21" s="332"/>
      <c r="D21" s="332"/>
      <c r="E21" s="332"/>
      <c r="F21" s="332"/>
      <c r="G21" s="332"/>
      <c r="H21" s="332"/>
      <c r="I21" s="331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</row>
    <row r="22" ht="15.75" customHeight="1">
      <c r="A22" s="337" t="s">
        <v>199</v>
      </c>
      <c r="B22" s="338">
        <v>12.0</v>
      </c>
      <c r="C22" s="338">
        <f>B2-B22</f>
        <v>0</v>
      </c>
      <c r="D22" s="338">
        <f>E2</f>
        <v>4</v>
      </c>
      <c r="E22" s="338">
        <v>0.0</v>
      </c>
      <c r="F22" s="338">
        <v>0.0</v>
      </c>
      <c r="G22" s="339">
        <f t="shared" ref="G22:G24" si="15">C22+D22+E22+F22</f>
        <v>4</v>
      </c>
      <c r="H22" s="332"/>
      <c r="I22" s="331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</row>
    <row r="23" ht="15.75" customHeight="1">
      <c r="A23" s="337" t="s">
        <v>200</v>
      </c>
      <c r="B23" s="338">
        <v>10.0</v>
      </c>
      <c r="C23" s="338">
        <f>B2-B23</f>
        <v>2</v>
      </c>
      <c r="D23" s="338">
        <f>E2</f>
        <v>4</v>
      </c>
      <c r="E23" s="338">
        <v>0.0</v>
      </c>
      <c r="F23" s="338">
        <f>G2</f>
        <v>0</v>
      </c>
      <c r="G23" s="339">
        <f t="shared" si="15"/>
        <v>6</v>
      </c>
      <c r="H23" s="332"/>
      <c r="I23" s="331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</row>
    <row r="24" ht="15.75" customHeight="1">
      <c r="A24" s="337" t="s">
        <v>201</v>
      </c>
      <c r="B24" s="338">
        <v>10.0</v>
      </c>
      <c r="C24" s="338">
        <f>B2-B24</f>
        <v>2</v>
      </c>
      <c r="D24" s="338">
        <f>D2</f>
        <v>3</v>
      </c>
      <c r="E24" s="338">
        <f t="shared" ref="E24:F24" si="16">F2</f>
        <v>1</v>
      </c>
      <c r="F24" s="338">
        <f t="shared" si="16"/>
        <v>0</v>
      </c>
      <c r="G24" s="339">
        <f t="shared" si="15"/>
        <v>6</v>
      </c>
      <c r="H24" s="332"/>
      <c r="I24" s="331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</row>
    <row r="25" ht="15.75" customHeight="1">
      <c r="A25" s="332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</row>
    <row r="26" ht="15.75" customHeight="1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</row>
    <row r="27" ht="15.75" customHeight="1">
      <c r="A27" s="332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</row>
    <row r="28" ht="15.75" customHeight="1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</row>
    <row r="29" ht="15.75" customHeight="1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</row>
    <row r="30" ht="15.75" customHeight="1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</row>
    <row r="31" ht="15.75" customHeight="1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</row>
    <row r="32" ht="15.75" customHeight="1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</row>
    <row r="33" ht="15.75" customHeight="1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</row>
    <row r="34" ht="15.75" customHeight="1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</row>
    <row r="35" ht="15.75" customHeight="1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</row>
    <row r="36" ht="15.75" customHeight="1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</row>
    <row r="37" ht="15.75" customHeight="1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</row>
    <row r="38" ht="15.75" customHeight="1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</row>
    <row r="39" ht="15.75" customHeight="1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</row>
    <row r="40" ht="15.75" customHeight="1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</row>
    <row r="41" ht="15.75" customHeight="1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</row>
    <row r="42" ht="15.75" customHeight="1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</row>
    <row r="43" ht="15.75" customHeight="1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</row>
    <row r="44" ht="15.75" customHeight="1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</row>
    <row r="45" ht="15.75" customHeight="1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</row>
    <row r="46" ht="15.75" customHeight="1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</row>
    <row r="47" ht="15.75" customHeight="1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</row>
    <row r="48" ht="15.75" customHeight="1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</row>
    <row r="49" ht="15.75" customHeight="1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</row>
    <row r="50" ht="15.75" customHeight="1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</row>
    <row r="51" ht="15.75" customHeight="1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</row>
    <row r="52" ht="15.75" customHeight="1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</row>
    <row r="53" ht="15.75" customHeight="1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</row>
    <row r="54" ht="15.75" customHeight="1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</row>
    <row r="55" ht="15.75" customHeight="1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</row>
    <row r="56" ht="15.75" customHeight="1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</row>
    <row r="57" ht="15.75" customHeight="1">
      <c r="A57" s="332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</row>
    <row r="58" ht="15.75" customHeight="1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</row>
    <row r="59" ht="15.75" customHeight="1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</row>
    <row r="60" ht="15.75" customHeight="1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</row>
    <row r="61" ht="15.75" customHeight="1">
      <c r="A61" s="332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</row>
    <row r="62" ht="15.75" customHeight="1">
      <c r="A62" s="332"/>
      <c r="B62" s="332"/>
      <c r="C62" s="332"/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</row>
    <row r="63" ht="15.75" customHeight="1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</row>
    <row r="64" ht="15.75" customHeight="1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</row>
    <row r="65" ht="15.75" customHeight="1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</row>
    <row r="66" ht="15.75" customHeight="1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</row>
    <row r="67" ht="15.75" customHeight="1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</row>
    <row r="68" ht="15.75" customHeight="1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</row>
    <row r="69" ht="15.75" customHeight="1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</row>
    <row r="70" ht="15.75" customHeight="1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</row>
    <row r="71" ht="15.75" customHeight="1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</row>
    <row r="72" ht="15.75" customHeight="1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</row>
    <row r="73" ht="15.75" customHeight="1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</row>
    <row r="74" ht="15.75" customHeight="1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</row>
    <row r="75" ht="15.75" customHeight="1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</row>
    <row r="76" ht="15.75" customHeight="1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</row>
    <row r="77" ht="15.75" customHeight="1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</row>
    <row r="78" ht="15.75" customHeight="1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  <row r="79" ht="15.75" customHeight="1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</row>
    <row r="80" ht="15.75" customHeight="1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</row>
    <row r="81" ht="15.75" customHeight="1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</row>
    <row r="82" ht="15.75" customHeight="1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</row>
    <row r="83" ht="15.75" customHeight="1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</row>
    <row r="84" ht="15.75" customHeight="1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</row>
    <row r="85" ht="15.75" customHeight="1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</row>
    <row r="86" ht="15.75" customHeight="1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</row>
    <row r="87" ht="15.75" customHeight="1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</row>
    <row r="88" ht="15.75" customHeight="1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</row>
    <row r="89" ht="15.75" customHeight="1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</row>
    <row r="90" ht="15.75" customHeight="1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</row>
    <row r="91" ht="15.75" customHeight="1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</row>
    <row r="92" ht="15.75" customHeight="1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</row>
    <row r="93" ht="15.75" customHeight="1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</row>
    <row r="94" ht="15.75" customHeight="1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</row>
    <row r="95" ht="15.75" customHeight="1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</row>
    <row r="96" ht="15.75" customHeight="1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</row>
    <row r="97" ht="15.75" customHeight="1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</row>
    <row r="98" ht="15.75" customHeight="1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</row>
    <row r="99" ht="15.75" customHeight="1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</row>
    <row r="100" ht="15.75" customHeight="1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</row>
    <row r="101" ht="15.75" customHeight="1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</row>
    <row r="102" ht="15.75" customHeight="1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</row>
    <row r="103" ht="15.75" customHeight="1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</row>
    <row r="104" ht="15.75" customHeight="1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</row>
    <row r="105" ht="15.75" customHeight="1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</row>
    <row r="106" ht="15.75" customHeight="1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</row>
    <row r="107" ht="15.75" customHeight="1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</row>
    <row r="108" ht="15.75" customHeight="1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</row>
    <row r="109" ht="15.75" customHeight="1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</row>
    <row r="110" ht="15.75" customHeight="1">
      <c r="A110" s="332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</row>
    <row r="111" ht="15.75" customHeight="1">
      <c r="A111" s="332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</row>
    <row r="112" ht="15.75" customHeight="1">
      <c r="A112" s="332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</row>
    <row r="113" ht="15.75" customHeight="1">
      <c r="A113" s="332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</row>
    <row r="114" ht="15.75" customHeight="1">
      <c r="A114" s="332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</row>
    <row r="115" ht="15.75" customHeight="1">
      <c r="A115" s="332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</row>
    <row r="116" ht="15.75" customHeight="1">
      <c r="A116" s="332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</row>
    <row r="117" ht="15.75" customHeight="1">
      <c r="A117" s="332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</row>
    <row r="118" ht="15.75" customHeight="1">
      <c r="A118" s="332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</row>
    <row r="119" ht="15.75" customHeight="1">
      <c r="A119" s="332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</row>
    <row r="120" ht="15.75" customHeight="1">
      <c r="A120" s="332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</row>
    <row r="121" ht="15.75" customHeight="1">
      <c r="A121" s="332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</row>
    <row r="122" ht="15.75" customHeight="1">
      <c r="A122" s="332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</row>
    <row r="123" ht="15.75" customHeight="1">
      <c r="A123" s="332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</row>
    <row r="124" ht="15.75" customHeight="1">
      <c r="A124" s="332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</row>
    <row r="125" ht="15.75" customHeight="1">
      <c r="A125" s="332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</row>
    <row r="126" ht="15.75" customHeight="1">
      <c r="A126" s="332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</row>
    <row r="127" ht="15.75" customHeight="1">
      <c r="A127" s="332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</row>
    <row r="128" ht="15.75" customHeight="1">
      <c r="A128" s="332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</row>
    <row r="129" ht="15.75" customHeight="1">
      <c r="A129" s="332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</row>
    <row r="130" ht="15.75" customHeight="1">
      <c r="A130" s="332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</row>
    <row r="131" ht="15.75" customHeight="1">
      <c r="A131" s="332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</row>
    <row r="132" ht="15.75" customHeight="1">
      <c r="A132" s="332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</row>
    <row r="133" ht="15.75" customHeight="1">
      <c r="A133" s="332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</row>
    <row r="134" ht="15.75" customHeight="1">
      <c r="A134" s="332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</row>
    <row r="135" ht="15.75" customHeight="1">
      <c r="A135" s="332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</row>
    <row r="136" ht="15.75" customHeight="1">
      <c r="A136" s="332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</row>
    <row r="137" ht="15.75" customHeight="1">
      <c r="A137" s="332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</row>
    <row r="138" ht="15.75" customHeight="1">
      <c r="A138" s="332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</row>
    <row r="139" ht="15.75" customHeight="1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</row>
    <row r="140" ht="15.75" customHeight="1">
      <c r="A140" s="332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</row>
    <row r="141" ht="15.75" customHeight="1">
      <c r="A141" s="332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</row>
    <row r="142" ht="15.75" customHeight="1">
      <c r="A142" s="332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</row>
    <row r="143" ht="15.75" customHeight="1">
      <c r="A143" s="332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</row>
    <row r="144" ht="15.75" customHeight="1">
      <c r="A144" s="332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</row>
    <row r="145" ht="15.75" customHeight="1">
      <c r="A145" s="332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</row>
    <row r="146" ht="15.75" customHeight="1">
      <c r="A146" s="332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</row>
    <row r="147" ht="15.75" customHeight="1">
      <c r="A147" s="332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</row>
    <row r="148" ht="15.75" customHeight="1">
      <c r="A148" s="332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</row>
    <row r="149" ht="15.75" customHeight="1">
      <c r="A149" s="332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</row>
    <row r="150" ht="15.75" customHeight="1">
      <c r="A150" s="332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</row>
    <row r="151" ht="15.75" customHeight="1">
      <c r="A151" s="332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</row>
    <row r="152" ht="15.75" customHeight="1">
      <c r="A152" s="332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</row>
    <row r="153" ht="15.75" customHeight="1">
      <c r="A153" s="332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</row>
    <row r="154" ht="15.75" customHeight="1">
      <c r="A154" s="332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</row>
    <row r="155" ht="15.75" customHeight="1">
      <c r="A155" s="332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</row>
    <row r="156" ht="15.75" customHeight="1">
      <c r="A156" s="332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</row>
    <row r="157" ht="15.75" customHeight="1">
      <c r="A157" s="332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</row>
    <row r="158" ht="15.75" customHeight="1">
      <c r="A158" s="332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</row>
    <row r="159" ht="15.75" customHeight="1">
      <c r="A159" s="332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</row>
    <row r="160" ht="15.75" customHeight="1">
      <c r="A160" s="332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</row>
    <row r="161" ht="15.75" customHeight="1">
      <c r="A161" s="332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</row>
    <row r="162" ht="15.75" customHeight="1">
      <c r="A162" s="332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</row>
    <row r="163" ht="15.75" customHeight="1">
      <c r="A163" s="332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</row>
    <row r="164" ht="15.75" customHeight="1">
      <c r="A164" s="332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</row>
    <row r="165" ht="15.75" customHeight="1">
      <c r="A165" s="332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</row>
    <row r="166" ht="15.75" customHeight="1">
      <c r="A166" s="332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</row>
    <row r="167" ht="15.75" customHeight="1">
      <c r="A167" s="332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</row>
    <row r="168" ht="15.75" customHeight="1">
      <c r="A168" s="332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</row>
    <row r="169" ht="15.75" customHeight="1">
      <c r="A169" s="332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</row>
    <row r="170" ht="15.75" customHeight="1">
      <c r="A170" s="332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</row>
    <row r="171" ht="15.75" customHeight="1">
      <c r="A171" s="332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</row>
    <row r="172" ht="15.75" customHeight="1">
      <c r="A172" s="332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</row>
    <row r="173" ht="15.75" customHeight="1">
      <c r="A173" s="332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</row>
    <row r="174" ht="15.75" customHeight="1">
      <c r="A174" s="332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</row>
    <row r="175" ht="15.75" customHeight="1">
      <c r="A175" s="332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</row>
    <row r="176" ht="15.75" customHeight="1">
      <c r="A176" s="332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</row>
    <row r="177" ht="15.75" customHeight="1">
      <c r="A177" s="332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</row>
    <row r="178" ht="15.75" customHeight="1">
      <c r="A178" s="332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</row>
    <row r="179" ht="15.75" customHeight="1">
      <c r="A179" s="332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</row>
    <row r="180" ht="15.75" customHeight="1">
      <c r="A180" s="332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</row>
    <row r="181" ht="15.75" customHeight="1">
      <c r="A181" s="332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</row>
    <row r="182" ht="15.75" customHeight="1">
      <c r="A182" s="332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</row>
    <row r="183" ht="15.75" customHeight="1">
      <c r="A183" s="332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</row>
    <row r="184" ht="15.75" customHeight="1">
      <c r="A184" s="332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</row>
    <row r="185" ht="15.75" customHeight="1">
      <c r="A185" s="332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</row>
    <row r="186" ht="15.75" customHeight="1">
      <c r="A186" s="332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</row>
    <row r="187" ht="15.75" customHeight="1">
      <c r="A187" s="332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</row>
    <row r="188" ht="15.75" customHeight="1">
      <c r="A188" s="332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</row>
    <row r="189" ht="15.75" customHeight="1">
      <c r="A189" s="332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</row>
    <row r="190" ht="15.75" customHeight="1">
      <c r="A190" s="332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</row>
    <row r="191" ht="15.75" customHeight="1">
      <c r="A191" s="332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</row>
    <row r="192" ht="15.75" customHeight="1">
      <c r="A192" s="332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</row>
    <row r="193" ht="15.75" customHeight="1">
      <c r="A193" s="332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</row>
    <row r="194" ht="15.75" customHeight="1">
      <c r="A194" s="332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</row>
    <row r="195" ht="15.75" customHeight="1">
      <c r="A195" s="332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</row>
    <row r="196" ht="15.75" customHeight="1">
      <c r="A196" s="332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</row>
    <row r="197" ht="15.75" customHeight="1">
      <c r="A197" s="332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</row>
    <row r="198" ht="15.75" customHeight="1">
      <c r="A198" s="332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</row>
    <row r="199" ht="15.75" customHeight="1">
      <c r="A199" s="332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</row>
    <row r="200" ht="15.75" customHeight="1">
      <c r="A200" s="332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</row>
    <row r="201" ht="15.75" customHeight="1">
      <c r="A201" s="332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</row>
    <row r="202" ht="15.75" customHeight="1">
      <c r="A202" s="332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</row>
    <row r="203" ht="15.75" customHeight="1">
      <c r="A203" s="332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</row>
    <row r="204" ht="15.75" customHeight="1">
      <c r="A204" s="332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</row>
    <row r="205" ht="15.75" customHeight="1">
      <c r="A205" s="332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</row>
    <row r="206" ht="15.75" customHeight="1">
      <c r="A206" s="332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</row>
    <row r="207" ht="15.75" customHeight="1">
      <c r="A207" s="332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</row>
    <row r="208" ht="15.75" customHeight="1">
      <c r="A208" s="332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</row>
    <row r="209" ht="15.75" customHeight="1">
      <c r="A209" s="332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</row>
    <row r="210" ht="15.75" customHeight="1">
      <c r="A210" s="332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</row>
    <row r="211" ht="15.75" customHeight="1">
      <c r="A211" s="332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</row>
    <row r="212" ht="15.75" customHeight="1">
      <c r="A212" s="332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</row>
    <row r="213" ht="15.75" customHeight="1">
      <c r="A213" s="332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</row>
    <row r="214" ht="15.75" customHeight="1">
      <c r="A214" s="332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</row>
    <row r="215" ht="15.75" customHeight="1">
      <c r="A215" s="332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</row>
    <row r="216" ht="15.75" customHeight="1">
      <c r="A216" s="332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</row>
    <row r="217" ht="15.75" customHeight="1">
      <c r="A217" s="332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</row>
    <row r="218" ht="15.75" customHeight="1">
      <c r="A218" s="332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</row>
    <row r="219" ht="15.75" customHeight="1">
      <c r="A219" s="332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</row>
    <row r="220" ht="15.75" customHeight="1">
      <c r="A220" s="332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</row>
    <row r="221" ht="15.75" customHeight="1">
      <c r="A221" s="332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</row>
    <row r="222" ht="15.75" customHeight="1">
      <c r="A222" s="332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</row>
    <row r="223" ht="15.75" customHeight="1">
      <c r="A223" s="332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</row>
    <row r="224" ht="15.75" customHeight="1">
      <c r="A224" s="332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A3:G3"/>
    <mergeCell ref="A4:G4"/>
    <mergeCell ref="A5:A6"/>
    <mergeCell ref="B5:B6"/>
    <mergeCell ref="C5:F5"/>
    <mergeCell ref="G5:G6"/>
  </mergeCells>
  <drawing r:id="rId1"/>
</worksheet>
</file>