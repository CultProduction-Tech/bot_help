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 (ООО)" sheetId="1" r:id="rId4"/>
    <sheet state="visible" name="CE (ИП)" sheetId="2" r:id="rId5"/>
    <sheet state="visible" name="PASSPORT (ООО)" sheetId="3" r:id="rId6"/>
    <sheet state="visible" name="PASSPORT (ИП)" sheetId="4" r:id="rId7"/>
    <sheet state="visible" name="PASSPORT (допкост) (ООО)" sheetId="5" r:id="rId8"/>
    <sheet state="visible" name="PASSPORT (допкост) (ИП)" sheetId="6" r:id="rId9"/>
    <sheet state="visible" name="ПЕРЕРАБОТКИ" sheetId="7" r:id="rId10"/>
  </sheets>
  <definedNames/>
  <calcPr/>
  <extLst>
    <ext uri="GoogleSheetsCustomDataVersion2">
      <go:sheetsCustomData xmlns:go="http://customooxmlschemas.google.com/" r:id="rId11" roundtripDataChecksum="CGFEafodLvFC6aF9A1f4oJPd7GRphJPZMZt31H50JE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0">
      <text>
        <t xml:space="preserve">======
ID#AAABy7kEh_o
    (2026-01-22 13:41:09)
30 000 руб. за проекты до 6 млн 
40 000 руб. за проекты выше 6 млн
50 000 руб. за проекты свыше 20 млн</t>
      </text>
    </comment>
  </commentList>
  <extLst>
    <ext uri="GoogleSheetsCustomDataVersion2">
      <go:sheetsCustomData xmlns:go="http://customooxmlschemas.google.com/" r:id="rId1" roundtripDataSignature="AMtx7mhRi+XFebQrqiKlckzQXuwqnFOmJ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0">
      <text>
        <t xml:space="preserve">======
ID#AAABy7kEh_w
    (2026-01-22 13:41:09)
30 000 руб. за проекты до 6 млн 
40 000 руб. за проекты выше 6 млн
50 000 руб. за проекты свыше 20 млн</t>
      </text>
    </comment>
    <comment authorId="0" ref="S41">
      <text>
        <t xml:space="preserve">======
ID#AAABy7kEh_s
    (2026-01-22 13:41:09)
Вилка гонорара при организации простой съемки/фотосъемки (до 3 млн. и маржинальности 24%) - 140-160 000 руб. 
Вилка гонорара при организации классического рекламного проекта с одной сменой (3-8 млн. и маржинальность 20-24%) - 180-200 000 руб. 
Вилка гонорара при организации дорогого рекламного проекта с одной сменой (более 8 млн. и маржинальность 18-20%) - 230-250 000 руб.</t>
      </text>
    </comment>
  </commentList>
  <extLst>
    <ext uri="GoogleSheetsCustomDataVersion2">
      <go:sheetsCustomData xmlns:go="http://customooxmlschemas.google.com/" r:id="rId1" roundtripDataSignature="AMtx7mhqvV1UCm/bvHZ+wdj/flMUJD6kCA=="/>
    </ext>
  </extLst>
</comments>
</file>

<file path=xl/sharedStrings.xml><?xml version="1.0" encoding="utf-8"?>
<sst xmlns="http://schemas.openxmlformats.org/spreadsheetml/2006/main" count="1739" uniqueCount="363">
  <si>
    <t>ИТОГО, ДО НДС</t>
  </si>
  <si>
    <t>IN
COST</t>
  </si>
  <si>
    <t>ЦЕЛЬ</t>
  </si>
  <si>
    <t>МАРЖ–ТЬ (ПЛАН)</t>
  </si>
  <si>
    <t>IN-COST (ПЛАН)</t>
  </si>
  <si>
    <t>МАРЖ-ТЬ (ФАКТ)</t>
  </si>
  <si>
    <t>IN-COST (ФАКТ)</t>
  </si>
  <si>
    <t>Название проекта</t>
  </si>
  <si>
    <t>кол-во</t>
  </si>
  <si>
    <t>наименование единицы</t>
  </si>
  <si>
    <t>единица</t>
  </si>
  <si>
    <t>цена за единицу</t>
  </si>
  <si>
    <t>переработки (всего)</t>
  </si>
  <si>
    <t>подытог</t>
  </si>
  <si>
    <t>налоговая ставка</t>
  </si>
  <si>
    <t>итого c налогами</t>
  </si>
  <si>
    <t>комментарии</t>
  </si>
  <si>
    <t>подытог (ПЛАН)</t>
  </si>
  <si>
    <t>Налоговая ставка</t>
  </si>
  <si>
    <t>Итого c налогами (ПЛАН)</t>
  </si>
  <si>
    <t>подытог (ФАКТ)</t>
  </si>
  <si>
    <t>налог</t>
  </si>
  <si>
    <t>Итого c налогами (ФАКТ)</t>
  </si>
  <si>
    <t>Съемочных дней</t>
  </si>
  <si>
    <t>часы</t>
  </si>
  <si>
    <t>ставка</t>
  </si>
  <si>
    <t>Съемочных часов</t>
  </si>
  <si>
    <t>A. РАЗРАБОТКА</t>
  </si>
  <si>
    <t>Разработка креатива</t>
  </si>
  <si>
    <t>проект</t>
  </si>
  <si>
    <t>Креативный супервайзинг проекта</t>
  </si>
  <si>
    <t xml:space="preserve">Директорс рисёрч </t>
  </si>
  <si>
    <t xml:space="preserve">Оформление тритмента </t>
  </si>
  <si>
    <t>Раскадровка</t>
  </si>
  <si>
    <t>кадр</t>
  </si>
  <si>
    <t>Аниматик</t>
  </si>
  <si>
    <t>ППМ-буклеты</t>
  </si>
  <si>
    <t>Переводчик</t>
  </si>
  <si>
    <t>Юридическое сопровождение</t>
  </si>
  <si>
    <t>Курьер, почтовые расходы</t>
  </si>
  <si>
    <t>ИТОГО РАЗРАБОТКА</t>
  </si>
  <si>
    <t>B. ПРЕДПРОИЗВОДСТВЕННАЯ ПОДГОТОВКА</t>
  </si>
  <si>
    <t>ПОДБОР ЛОКАЦИИ</t>
  </si>
  <si>
    <t>Локейшн-менеджер</t>
  </si>
  <si>
    <t xml:space="preserve">Микроавтобус </t>
  </si>
  <si>
    <t>смена</t>
  </si>
  <si>
    <t>КАСТИНГ</t>
  </si>
  <si>
    <t>Кастинг-директор</t>
  </si>
  <si>
    <t>Аренда студии</t>
  </si>
  <si>
    <t>час</t>
  </si>
  <si>
    <t>Оператор</t>
  </si>
  <si>
    <t>Аренда съемочного оборудования</t>
  </si>
  <si>
    <t>ИТОГО ПРЕДПРОИЗВОДСТВЕННАЯ ПОДГОТОВКА</t>
  </si>
  <si>
    <t>C. АКТЕРЫ</t>
  </si>
  <si>
    <t>Основной актер</t>
  </si>
  <si>
    <t>Второстепенный актер</t>
  </si>
  <si>
    <t>Массовка</t>
  </si>
  <si>
    <t>Ассистент по актерам</t>
  </si>
  <si>
    <t>Бригадир массовки (подбор + площадка)</t>
  </si>
  <si>
    <t>ИТОГО АКТЕРЫ</t>
  </si>
  <si>
    <t>D. ГОНОРАРЫ</t>
  </si>
  <si>
    <t>ПРОДЮСЕРЫ И АДМИНИСТРАЦИЯ</t>
  </si>
  <si>
    <t>Исполнительный продюсер</t>
  </si>
  <si>
    <t>Линейный продюсер</t>
  </si>
  <si>
    <t>Ассистент продюсера</t>
  </si>
  <si>
    <t>Директор группы</t>
  </si>
  <si>
    <t>Заместитель директора</t>
  </si>
  <si>
    <t>Администратор</t>
  </si>
  <si>
    <t>Рабочие</t>
  </si>
  <si>
    <t>РЕЖИССЕРСКИЙ ДЕПАРТАМЕНТ</t>
  </si>
  <si>
    <t>Режиссер</t>
  </si>
  <si>
    <t>Второй режиссер</t>
  </si>
  <si>
    <t>Хлопушка</t>
  </si>
  <si>
    <t>Монтажер на площадке</t>
  </si>
  <si>
    <t>ОПЕРАТОРСКАЯ ГРУППА</t>
  </si>
  <si>
    <t xml:space="preserve">Оператор-постановщик </t>
  </si>
  <si>
    <t>— прогрессивные переработки с 17 по 22 час</t>
  </si>
  <si>
    <t>— прогрессивные переработки с 23 часа</t>
  </si>
  <si>
    <t>Фокус-пуллер</t>
  </si>
  <si>
    <t>Механики камеры</t>
  </si>
  <si>
    <t>— погрузка/разгрузка</t>
  </si>
  <si>
    <t xml:space="preserve">— расходники </t>
  </si>
  <si>
    <t>Гафер (освоение)</t>
  </si>
  <si>
    <t xml:space="preserve">Гафер </t>
  </si>
  <si>
    <t xml:space="preserve">Кей-грип </t>
  </si>
  <si>
    <t xml:space="preserve">Бест-бой </t>
  </si>
  <si>
    <t xml:space="preserve">Осветители и грипы </t>
  </si>
  <si>
    <t>Техники долли</t>
  </si>
  <si>
    <t>Пультовик</t>
  </si>
  <si>
    <t>Оператор стедикама</t>
  </si>
  <si>
    <t>Оператор гимбла</t>
  </si>
  <si>
    <t>— прогрессивные переработки с 19 по 24 час</t>
  </si>
  <si>
    <t>— прогрессивные переработки с 24 часа</t>
  </si>
  <si>
    <t>ЗВУКООПЕРАТОРСКАЯ ГРУППА</t>
  </si>
  <si>
    <t>Звукооператор</t>
  </si>
  <si>
    <t>Ассистент звукооператора</t>
  </si>
  <si>
    <t>ХУДОЖЕСТВЕННЫЙ ДЕПАРТАМЕНТ</t>
  </si>
  <si>
    <t>Художник-постановщик</t>
  </si>
  <si>
    <t>Декоратор</t>
  </si>
  <si>
    <t>Ассистент по реквизиту</t>
  </si>
  <si>
    <t>Реквизиторы</t>
  </si>
  <si>
    <t>Реквизиторы (закупка, застройка)</t>
  </si>
  <si>
    <t>Постановщики</t>
  </si>
  <si>
    <t>Постановщики (закупка, застройка)</t>
  </si>
  <si>
    <t>Художник по костюму (стилист)</t>
  </si>
  <si>
    <t>Ассистент художника по костюму</t>
  </si>
  <si>
    <t>ГРИМ И ВОЛОСЫ</t>
  </si>
  <si>
    <t>Художник по гриму (визажист)</t>
  </si>
  <si>
    <t>Ассистент художника по гриму</t>
  </si>
  <si>
    <t>Стилист по волосам</t>
  </si>
  <si>
    <t>Маникюр</t>
  </si>
  <si>
    <t>ДОПОЛНИТЕЛЬНЫЙ ПЕРСОНАЛ</t>
  </si>
  <si>
    <t>Оператор бекстейдж</t>
  </si>
  <si>
    <t>Фотограф бекстейдж</t>
  </si>
  <si>
    <t>Спецэффекты (SFX)</t>
  </si>
  <si>
    <t>Каскадеры</t>
  </si>
  <si>
    <t>Детский психолог</t>
  </si>
  <si>
    <t>Животные и дрессировщик</t>
  </si>
  <si>
    <t>Фуд-стилист</t>
  </si>
  <si>
    <t>Электрик</t>
  </si>
  <si>
    <t>Врач на площадке</t>
  </si>
  <si>
    <t>Пожарные</t>
  </si>
  <si>
    <t>ИТОГО ГОНОРАРЫ</t>
  </si>
  <si>
    <t>E. СЪЕМОЧНОЕ ОБОРУДОВАНИЕ</t>
  </si>
  <si>
    <t>КАМЕРА</t>
  </si>
  <si>
    <t>Камера</t>
  </si>
  <si>
    <t>Объективы</t>
  </si>
  <si>
    <t>Дополнительное оборудование (риг, мониторы, коммутация, передача сигнала, радио-фокус, накопители и т.д.)</t>
  </si>
  <si>
    <t>СВЕТОВОЕ ОБОРУДОВАНИЕ</t>
  </si>
  <si>
    <t>Осветительные приборы</t>
  </si>
  <si>
    <t>Грип</t>
  </si>
  <si>
    <t xml:space="preserve">Генератор </t>
  </si>
  <si>
    <t>Динамический свет</t>
  </si>
  <si>
    <t>Погрузочно-разгрузочные работы по свету</t>
  </si>
  <si>
    <t>Погрузочно-разгрузочные работы по грипу</t>
  </si>
  <si>
    <t>Представитель рентала при погрузке/разгрузке</t>
  </si>
  <si>
    <t>ОПЕРАТОРСКАЯ ТЕХНИКА</t>
  </si>
  <si>
    <t>Операторская телега</t>
  </si>
  <si>
    <t>Операторский кран</t>
  </si>
  <si>
    <t>Высотный кран</t>
  </si>
  <si>
    <t>Автомобильный кран</t>
  </si>
  <si>
    <t>ЗВУКОВОЕ ОБОРУДОВАНИЕ</t>
  </si>
  <si>
    <t>Аренда звукового оборудования</t>
  </si>
  <si>
    <t>ДОПОЛНИТЕЛЬНОЕ ОБОРУДОВАНИЕ</t>
  </si>
  <si>
    <t>Рации</t>
  </si>
  <si>
    <t>шт</t>
  </si>
  <si>
    <t>Громкая связь</t>
  </si>
  <si>
    <t>Дым, ветродуй, генератор снега и т.д.</t>
  </si>
  <si>
    <t>Жесткие диски</t>
  </si>
  <si>
    <t>АХЧ: палатки, столы, стулья, вешалки, обогреватель, СВЧ-печь и т.д.</t>
  </si>
  <si>
    <t>ИТОГО СЪЕМОЧНОЕ ОБОРУДОВАНИЕ</t>
  </si>
  <si>
    <t>F. ХУДОЖЕСТВЕННЫЙ ДЕПАРТАМЕНТ</t>
  </si>
  <si>
    <t>ДЕКОР И ПОСТРОЙКА</t>
  </si>
  <si>
    <t>Строительные материалы</t>
  </si>
  <si>
    <t>Декоративные и расходные материалы</t>
  </si>
  <si>
    <t>РЕКВИЗИТ</t>
  </si>
  <si>
    <t>Покупка реквизита</t>
  </si>
  <si>
    <t>Аренда реквизита</t>
  </si>
  <si>
    <t>КОСТЮМ</t>
  </si>
  <si>
    <t>Аренда и выкуп костюма</t>
  </si>
  <si>
    <t>Пошив костюма</t>
  </si>
  <si>
    <t>Химчистка и подгон</t>
  </si>
  <si>
    <t>Расходники</t>
  </si>
  <si>
    <t>ГРИМ</t>
  </si>
  <si>
    <t>Пластический грим</t>
  </si>
  <si>
    <t>Материалы</t>
  </si>
  <si>
    <t>ИТОГО ХУДОЖЕСТВЕННЫЙ ДЕПАРТАМЕНТ</t>
  </si>
  <si>
    <t>G. ПАВИЛЬОН И ЛОКАЦИИ</t>
  </si>
  <si>
    <t>ПАВИЛЬОН</t>
  </si>
  <si>
    <t>Застройка</t>
  </si>
  <si>
    <t>Съемочные дни</t>
  </si>
  <si>
    <t>Гримерки</t>
  </si>
  <si>
    <t>Уборка и вывоз мусора</t>
  </si>
  <si>
    <t xml:space="preserve">проект </t>
  </si>
  <si>
    <t>Электроэнергия</t>
  </si>
  <si>
    <t>Парковка</t>
  </si>
  <si>
    <t>ОБЪЕКТЫ ДЛЯ СЪЕМОК</t>
  </si>
  <si>
    <t>Аренда объектов</t>
  </si>
  <si>
    <t>Городское разрешение на съемки</t>
  </si>
  <si>
    <t>Городская парковка</t>
  </si>
  <si>
    <t>Сопровождение ГИБДД</t>
  </si>
  <si>
    <t>ЧОП</t>
  </si>
  <si>
    <t>ИТОГО ПАВИЛЬОН И ЛОКАЦИИ</t>
  </si>
  <si>
    <t>H. БУФЕТ И ОБЕДЫ</t>
  </si>
  <si>
    <t>Буфет на площадке</t>
  </si>
  <si>
    <t>Закупка буфета</t>
  </si>
  <si>
    <t>Буфетчик</t>
  </si>
  <si>
    <t>Ассистент буфетчика</t>
  </si>
  <si>
    <t>Обеды</t>
  </si>
  <si>
    <t>ИТОГО БУФЕТ И ОБЕДЫ</t>
  </si>
  <si>
    <t>I. ТРАНСПОРТ</t>
  </si>
  <si>
    <t>Транспорт, ГСМ</t>
  </si>
  <si>
    <t>ПРОИЗВОДСТВО</t>
  </si>
  <si>
    <t>Камерваген</t>
  </si>
  <si>
    <t>Гриптрак</t>
  </si>
  <si>
    <t>Доставка света</t>
  </si>
  <si>
    <t>Доставка операторской телеги</t>
  </si>
  <si>
    <t>Хламваген</t>
  </si>
  <si>
    <t>Костюмваген (в т.ч. закупка и доставка)</t>
  </si>
  <si>
    <t>Гримваген</t>
  </si>
  <si>
    <t>Буфетваген (в т.ч. закупка и доставка)</t>
  </si>
  <si>
    <t>Групповой автобус</t>
  </si>
  <si>
    <t>Передвижной туалет</t>
  </si>
  <si>
    <t>Такси</t>
  </si>
  <si>
    <t>Транспортировка декора, реквизита, материалов, костюма</t>
  </si>
  <si>
    <t>Километраж за МКАД</t>
  </si>
  <si>
    <t>ИТОГО ТРАНСПОРТ</t>
  </si>
  <si>
    <t xml:space="preserve">J. ЭКСПЕДИЦИОННЫЕ РАСХОДЫ </t>
  </si>
  <si>
    <t>ПРОДАКШН СЕРВИС</t>
  </si>
  <si>
    <t>Продакшн сервис</t>
  </si>
  <si>
    <t xml:space="preserve">Комиссия платежного агента </t>
  </si>
  <si>
    <t>КОМАНДА</t>
  </si>
  <si>
    <t xml:space="preserve">Режиссер </t>
  </si>
  <si>
    <t xml:space="preserve">Оператор </t>
  </si>
  <si>
    <t xml:space="preserve">Механик камеры             </t>
  </si>
  <si>
    <t>ТРЕВЕЛ</t>
  </si>
  <si>
    <t>Визы</t>
  </si>
  <si>
    <t>Билеты</t>
  </si>
  <si>
    <t>Проживание (в т.ч. поиск локаций)</t>
  </si>
  <si>
    <t>Суточные (в т.ч. поиск локаций)</t>
  </si>
  <si>
    <t>Трансферы</t>
  </si>
  <si>
    <t>Мобильная связь</t>
  </si>
  <si>
    <t>Таможня</t>
  </si>
  <si>
    <t>Страхование оборудования</t>
  </si>
  <si>
    <t>Перевес</t>
  </si>
  <si>
    <t>Курсовая разница валют</t>
  </si>
  <si>
    <t>ИТОГО ЭКСПЕДИЦИОННЫЕ РАСХОДЫ</t>
  </si>
  <si>
    <t>K. ПОСТ-ПРОИЗВОДСТВО</t>
  </si>
  <si>
    <t>Пост-продакшн продюсер</t>
  </si>
  <si>
    <t>Арт-директор</t>
  </si>
  <si>
    <t>МОНТАЖ И ЦВЕТОКОРРЕКЦИЯ</t>
  </si>
  <si>
    <t>Режиссер монтажа</t>
  </si>
  <si>
    <t>Технический монтаж</t>
  </si>
  <si>
    <t>Цветокоррекция</t>
  </si>
  <si>
    <t>КОМПЬЮТЕРНАЯ ГРАФИКА</t>
  </si>
  <si>
    <t xml:space="preserve">Стоковые материалы </t>
  </si>
  <si>
    <t>VFX супервайзер</t>
  </si>
  <si>
    <t>Иллюстратор</t>
  </si>
  <si>
    <t xml:space="preserve">2D анимация </t>
  </si>
  <si>
    <t>3D анимация</t>
  </si>
  <si>
    <t xml:space="preserve">Моделинг </t>
  </si>
  <si>
    <t>Лайтнинг</t>
  </si>
  <si>
    <t xml:space="preserve">Шейдинг </t>
  </si>
  <si>
    <t xml:space="preserve">Трекинг </t>
  </si>
  <si>
    <t xml:space="preserve">Композитинг </t>
  </si>
  <si>
    <t xml:space="preserve">Клинап </t>
  </si>
  <si>
    <t>Рендер</t>
  </si>
  <si>
    <t>ИИ ГРАФИКА</t>
  </si>
  <si>
    <t>ИИ продюсер</t>
  </si>
  <si>
    <t xml:space="preserve">ИИ aрт-директор </t>
  </si>
  <si>
    <t>ИИ супервайзер</t>
  </si>
  <si>
    <t xml:space="preserve">Фото генерации </t>
  </si>
  <si>
    <t>Инпейнт (детальная доработка)</t>
  </si>
  <si>
    <t xml:space="preserve">Видео генерации </t>
  </si>
  <si>
    <t>Оплата лицензионных сервисов</t>
  </si>
  <si>
    <t>ЗВУК</t>
  </si>
  <si>
    <t xml:space="preserve">Стоковая музыка </t>
  </si>
  <si>
    <t>Композитор</t>
  </si>
  <si>
    <t>Диктор</t>
  </si>
  <si>
    <t>Студия звукозаписи</t>
  </si>
  <si>
    <t>Саунд-дизайн и сведение звука</t>
  </si>
  <si>
    <t>ролик</t>
  </si>
  <si>
    <t>ИТОГО ПОСТ-ПРОИЗВОДСТВО</t>
  </si>
  <si>
    <t xml:space="preserve"> ПРОИЗВОДСТВО</t>
  </si>
  <si>
    <t>ПОСТ-ПРОИЗВОДСТВО</t>
  </si>
  <si>
    <t>НЕПРЕДВИДЕННЫЕ РАСХОДЫ</t>
  </si>
  <si>
    <t>ИТОГО ПРОИЗВОДСТВО</t>
  </si>
  <si>
    <t>ИТОГО БЕЗ КРЕДИТОВАНИЯ</t>
  </si>
  <si>
    <t>МАРКАП</t>
  </si>
  <si>
    <t>КРЕДИТ, МЕСЯЦЕВ (4,5%)</t>
  </si>
  <si>
    <t>КРЕДИТ, МЕСЯЦЕВ</t>
  </si>
  <si>
    <t>ИТОГО ДО НДС</t>
  </si>
  <si>
    <t>ИТОГО РАСХОДОВ ПО ПРОЕКТУ</t>
  </si>
  <si>
    <t>НДС, 22%</t>
  </si>
  <si>
    <t>ИТОГО С НДС</t>
  </si>
  <si>
    <t>Примечания:</t>
  </si>
  <si>
    <t xml:space="preserve">
- Смета актуальна для условий, указанных в продакшн подходе, а именно: права, даты съемок, даты запуска (подтверждения), даты сдача мастеров, творческой группы. В случае изменения любых условий смета может быть пересчитана. 
- При отмене, переносе или остановке проекта по вашей инициативе, вы берете на себя обязательства компенсировать все понесенные исполнителем расходы, а также обязательства перед подрядчиками исполнителя, возникшие на момент отмены, переноса или остановки проекта.
- Если договор не будет подписан до съемочного дня, мы оставляем за собой право приостановить проект, при этом вы должны будете компенсировать все понесенные нами расходы, а также обязательства перед нашими подрядчиками, возникшие на тот момент.
- В смете не учтены расходы на “погодный день”. </t>
  </si>
  <si>
    <t>ПРИБЫЛЬ (ПЛАН)</t>
  </si>
  <si>
    <t>ПРИБЫЛЬ (ФАКТ)</t>
  </si>
  <si>
    <t>ИТОГО, ВКЛЮЧАЯ УСН И НДС</t>
  </si>
  <si>
    <t>Сценарий</t>
  </si>
  <si>
    <t>J. ЭКСПЕДИЦИОННЫЕ РАСХОДЫ</t>
  </si>
  <si>
    <t>ИТОГО ДО УСН</t>
  </si>
  <si>
    <t>НАЛОГ (УСН и НДС)</t>
  </si>
  <si>
    <t>ИТОГО С УСН</t>
  </si>
  <si>
    <t>ФИНАНСЫ И ДОКУМЕНТЫ – КЛИЕНТ</t>
  </si>
  <si>
    <t>Наше юр лицо</t>
  </si>
  <si>
    <t>ООО "Культ"</t>
  </si>
  <si>
    <t>Юр лицо клиента</t>
  </si>
  <si>
    <t>Продюсер</t>
  </si>
  <si>
    <t>План IN-cost GROSS (с налогами)</t>
  </si>
  <si>
    <t>Факт IN-cost GROSS (с налогами)</t>
  </si>
  <si>
    <t>OUT-cost NET (без НДС)</t>
  </si>
  <si>
    <t>OUT-cost GROSS (с НДС)</t>
  </si>
  <si>
    <t>Плановая маржинальность (%)</t>
  </si>
  <si>
    <t>Фактическая маржинальность (%)</t>
  </si>
  <si>
    <t>Финансовые условия: сроки и условия оплаты (сумма / пред- и постоплата / до какого числа каждая оплата)</t>
  </si>
  <si>
    <t>Ссылка на смету</t>
  </si>
  <si>
    <t>Папка проекта</t>
  </si>
  <si>
    <t>Видеоролики</t>
  </si>
  <si>
    <t>Дата съемки</t>
  </si>
  <si>
    <t>Дата сдачи результатов работ (выставления акта)</t>
  </si>
  <si>
    <t>Конкретный подробный перечень услуг / виды работ</t>
  </si>
  <si>
    <t>Сроки начала и окончания работ</t>
  </si>
  <si>
    <t>Количество основных версий роликов</t>
  </si>
  <si>
    <t>Хронометраж каждой основной версии роликов</t>
  </si>
  <si>
    <t>Количество монтажных версий роликов</t>
  </si>
  <si>
    <t>Хронометраж каждой монтажной версии роликов</t>
  </si>
  <si>
    <t xml:space="preserve">Будут ли задействованы: </t>
  </si>
  <si>
    <t>- актеры</t>
  </si>
  <si>
    <t>- диктор</t>
  </si>
  <si>
    <t>- компьютерная графика</t>
  </si>
  <si>
    <t>Музыка:</t>
  </si>
  <si>
    <t>- композитор (если да, сколько пишет треков и каким хронометражем)</t>
  </si>
  <si>
    <t>- стоковая</t>
  </si>
  <si>
    <t>Объем прав:</t>
  </si>
  <si>
    <t>- сроки + дата начала использования роликов</t>
  </si>
  <si>
    <t>- каналы распространения</t>
  </si>
  <si>
    <t>- территория</t>
  </si>
  <si>
    <t>Фотографии</t>
  </si>
  <si>
    <t>Количество фото</t>
  </si>
  <si>
    <t>Радио / аудиоролики</t>
  </si>
  <si>
    <t>Количество основных версий аудиороликов</t>
  </si>
  <si>
    <t>Хронометраж каждой основной версии аудиороликов</t>
  </si>
  <si>
    <t>Количество монтажных версий аудиороликов</t>
  </si>
  <si>
    <t>Хронометраж каждой монтажной версии аудиороликов</t>
  </si>
  <si>
    <t>- сроки + дата начала использования аудиороликов</t>
  </si>
  <si>
    <t>Будут ли стоки: фото / видео. Если да, объем предоставляемых прав</t>
  </si>
  <si>
    <t>Что предоставляет Заказчик (сценарии, текст для озвучивания, актеров и т.д.)</t>
  </si>
  <si>
    <t>Прописать возможность архивного хранения ролика в интернете и соц сетях заказчика?</t>
  </si>
  <si>
    <t>Прописать возможность создавать диркат?</t>
  </si>
  <si>
    <t>Прописать возможность использования роликов в нашем портфолио, сайте, соц сетях (для нас и команды)?</t>
  </si>
  <si>
    <t>ИП Мельников</t>
  </si>
  <si>
    <t>OUT-cost GROSS (с налогами ИП)</t>
  </si>
  <si>
    <t>- композитор (если да, сколько пишеттреков и каким хронометражем)</t>
  </si>
  <si>
    <t>Конкретный подробный перечень доп услуг / виды доп работ</t>
  </si>
  <si>
    <t>Сроки начала и окончания доп работ</t>
  </si>
  <si>
    <t>РИД. Какие РИД создавались?</t>
  </si>
  <si>
    <t>- новые РИД не возникают</t>
  </si>
  <si>
    <t>- дублируем из основного договора</t>
  </si>
  <si>
    <t>РАСЧЕТ ПЕРЕРАБОТОК</t>
  </si>
  <si>
    <t>Смена</t>
  </si>
  <si>
    <t>Вызов до мотора: режиссер, второй режиссер, оператор и фокус</t>
  </si>
  <si>
    <t>Вызов до мотора и выход: механики и остальной тех. персонал</t>
  </si>
  <si>
    <t>Вызов до мотора и выход: бригада осветителей и постановщиков</t>
  </si>
  <si>
    <t>Текущий обед</t>
  </si>
  <si>
    <t>За МКАД</t>
  </si>
  <si>
    <t>смена/час</t>
  </si>
  <si>
    <t>переработки</t>
  </si>
  <si>
    <t>всего часов переработки</t>
  </si>
  <si>
    <t>вызов до смены</t>
  </si>
  <si>
    <t>текущий обед</t>
  </si>
  <si>
    <t>за МКАД</t>
  </si>
  <si>
    <t xml:space="preserve">Бригада осветителей </t>
  </si>
  <si>
    <t>Механики долли/крана</t>
  </si>
  <si>
    <t>Стедикам/гимбл/дрон</t>
  </si>
  <si>
    <t>Motion Control</t>
  </si>
  <si>
    <t>Звукорежиссер/Гример/Ассистент</t>
  </si>
  <si>
    <t>Реквизитор/постановщик</t>
  </si>
  <si>
    <t>SFX/VFX</t>
  </si>
  <si>
    <t>Аренда локации</t>
  </si>
  <si>
    <t>Транспорт (светобаза, гриптрак, гена и т.д.)</t>
  </si>
  <si>
    <t>Транспорт (камерваген, гримваген и т.д.)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</si>
</sst>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d\.mm"/>
    <numFmt numFmtId="166" formatCode="d.m"/>
  </numFmts>
  <fonts count="33">
    <font>
      <sz val="10.0"/>
      <color rgb="FF000000"/>
      <name val="Calibri"/>
      <scheme val="minor"/>
    </font>
    <font>
      <sz val="9.0"/>
      <color theme="1"/>
      <name val="Arial"/>
    </font>
    <font>
      <b/>
      <sz val="9.0"/>
      <color rgb="FFFF0000"/>
      <name val="Arial"/>
    </font>
    <font>
      <b/>
      <sz val="9.0"/>
      <color rgb="FF000000"/>
      <name val="Arial"/>
    </font>
    <font>
      <b/>
      <sz val="9.0"/>
      <color rgb="FF000000"/>
      <name val="Golos Text"/>
    </font>
    <font/>
    <font>
      <b/>
      <sz val="9.0"/>
      <color rgb="FFFF8ADA"/>
      <name val="Golos Text"/>
    </font>
    <font>
      <b/>
      <sz val="9.0"/>
      <color rgb="FFDB5798"/>
      <name val="Arial"/>
    </font>
    <font>
      <b/>
      <sz val="9.0"/>
      <color rgb="FFFFFFFF"/>
      <name val="Golos Text"/>
    </font>
    <font>
      <b/>
      <sz val="9.0"/>
      <color rgb="FF6AA84F"/>
      <name val="Golos Text"/>
    </font>
    <font>
      <sz val="9.0"/>
      <color rgb="FFFFFFFF"/>
      <name val="Golos Text"/>
    </font>
    <font>
      <sz val="9.0"/>
      <color theme="1"/>
      <name val="Golos Text"/>
    </font>
    <font>
      <sz val="9.0"/>
      <color rgb="FFFFFFFF"/>
      <name val="Arial"/>
    </font>
    <font>
      <sz val="9.0"/>
      <color rgb="FF000000"/>
      <name val="Golos Text"/>
    </font>
    <font>
      <color theme="1"/>
      <name val="Golos Text"/>
    </font>
    <font>
      <sz val="10.0"/>
      <color theme="1"/>
      <name val="Golos Text"/>
    </font>
    <font>
      <b/>
      <sz val="9.0"/>
      <color rgb="FFFF0000"/>
      <name val="Golos Text"/>
    </font>
    <font>
      <sz val="7.0"/>
      <color theme="1"/>
      <name val="Golos Text"/>
    </font>
    <font>
      <sz val="10.0"/>
      <color theme="1"/>
      <name val="Calibri"/>
    </font>
    <font>
      <b/>
      <sz val="9.0"/>
      <color rgb="FFFF8ADA"/>
      <name val="Arial"/>
    </font>
    <font>
      <b/>
      <sz val="9.0"/>
      <color rgb="FFFFFFFF"/>
      <name val="Arial"/>
    </font>
    <font>
      <b/>
      <sz val="9.0"/>
      <color rgb="FF6AA84F"/>
      <name val="Arial"/>
    </font>
    <font>
      <sz val="9.0"/>
      <color rgb="FF000000"/>
      <name val="Arial"/>
    </font>
    <font>
      <color theme="1"/>
      <name val="Calibri"/>
    </font>
    <font>
      <sz val="7.0"/>
      <color theme="1"/>
      <name val="Arial"/>
    </font>
    <font>
      <b/>
      <sz val="10.0"/>
      <color rgb="FFFFFFFF"/>
      <name val="PT Sans"/>
    </font>
    <font>
      <sz val="10.0"/>
      <color theme="1"/>
      <name val="PT Sans"/>
    </font>
    <font>
      <b/>
      <sz val="10.0"/>
      <color theme="1"/>
      <name val="PT Sans"/>
    </font>
    <font>
      <sz val="10.0"/>
      <color rgb="FFFFFFFF"/>
      <name val="PT Sans"/>
    </font>
    <font>
      <u/>
      <sz val="10.0"/>
      <color rgb="FF1155CC"/>
      <name val="PT Sans"/>
    </font>
    <font>
      <b/>
      <sz val="12.0"/>
      <color theme="1"/>
      <name val="PT Sans"/>
    </font>
    <font>
      <sz val="10.0"/>
      <color theme="1"/>
      <name val="Arial"/>
    </font>
    <font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8ADA"/>
        <bgColor rgb="FFFF8ADA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theme="9"/>
        <bgColor theme="9"/>
      </patternFill>
    </fill>
  </fills>
  <borders count="130">
    <border/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top style="thin">
        <color rgb="FF666666"/>
      </top>
    </border>
    <border>
      <left style="thin">
        <color rgb="FFDB5798"/>
      </left>
      <right style="thin">
        <color rgb="FFDB5798"/>
      </right>
      <top style="thin">
        <color rgb="FFDB5798"/>
      </top>
    </border>
    <border>
      <left style="thin">
        <color rgb="FF000000"/>
      </lef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/>
      <top style="thin">
        <color rgb="FF000000"/>
      </top>
    </border>
    <border>
      <left style="thin">
        <color rgb="FFFF8ADA"/>
      </left>
      <right style="thin">
        <color rgb="FFFF8ADA"/>
      </right>
      <top style="thin">
        <color rgb="FFFF8ADA"/>
      </top>
      <bottom style="thin">
        <color rgb="FFFF8ADA"/>
      </bottom>
    </border>
    <border>
      <right style="thin">
        <color rgb="FFFFFFFF"/>
      </right>
      <top/>
    </border>
    <border>
      <left/>
      <right style="thin">
        <color rgb="FFFFFFFF"/>
      </right>
      <top/>
    </border>
    <border>
      <left style="thin">
        <color rgb="FFFFFFFF"/>
      </left>
      <right style="thin">
        <color rgb="FFFFFFFF"/>
      </right>
      <top/>
    </border>
    <border>
      <left style="thin">
        <color rgb="FFFFFFFF"/>
      </left>
      <top/>
    </border>
    <border>
      <left style="thin">
        <color rgb="FF000000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/>
    </border>
    <border>
      <left style="thin">
        <color rgb="FFFFFFFF"/>
      </left>
    </border>
    <border>
      <left/>
      <right style="thin">
        <color rgb="FFFFFFFF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/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/>
      <right style="thin">
        <color rgb="FFFFFFFF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top/>
      <bottom style="thin">
        <color rgb="FFFFFFFF"/>
      </bottom>
    </border>
    <border>
      <left/>
      <top style="thin">
        <color rgb="FFFFFFFF"/>
      </top>
      <bottom/>
    </border>
    <border>
      <top style="thin">
        <color rgb="FFFFFFFF"/>
      </top>
      <bottom/>
    </border>
    <border>
      <right style="thin">
        <color rgb="FFFFFFFF"/>
      </right>
      <top style="thin">
        <color rgb="FFFFFFFF"/>
      </top>
      <bottom/>
    </border>
    <border>
      <left style="thin">
        <color rgb="FFDB5798"/>
      </left>
      <right style="thin">
        <color rgb="FFEFEFEF"/>
      </right>
      <top style="thin">
        <color rgb="FF000000"/>
      </top>
      <bottom style="thin">
        <color rgb="FFEFEFEF"/>
      </bottom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FFFFF"/>
      </left>
      <top/>
      <bottom/>
    </border>
    <border>
      <left style="thin">
        <color rgb="FFFFFFFF"/>
      </left>
      <right/>
      <top/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DB5798"/>
      </left>
      <right style="thin">
        <color rgb="FFEFEFEF"/>
      </righ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bottom style="thin">
        <color rgb="FFEFEFE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/>
      <bottom style="thin">
        <color rgb="FFFFFFFF"/>
      </bottom>
    </border>
    <border>
      <left/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/>
      <top style="thin">
        <color rgb="FFEFEFEF"/>
      </top>
      <bottom style="thin">
        <color rgb="FFEFEFEF"/>
      </bottom>
    </border>
    <border>
      <left style="thin">
        <color rgb="FFFFFFFF"/>
      </left>
      <right/>
      <top style="thin">
        <color rgb="FFFFFFF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/>
      <right style="thin">
        <color rgb="FFFFFFFF"/>
      </right>
      <top/>
      <bottom/>
    </border>
    <border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/>
      <top/>
      <bottom style="thin">
        <color rgb="FFFFFFFF"/>
      </bottom>
    </border>
    <border>
      <left style="thin">
        <color rgb="FF666666"/>
      </left>
      <top/>
    </border>
    <border>
      <top/>
    </border>
    <border>
      <right style="thin">
        <color rgb="FF666666"/>
      </right>
      <top/>
    </border>
    <border>
      <left/>
      <right style="thin">
        <color rgb="FF666666"/>
      </right>
      <top/>
      <bottom style="thin">
        <color rgb="FF666666"/>
      </bottom>
    </border>
    <border>
      <right style="thin">
        <color rgb="FF666666"/>
      </right>
      <top/>
      <bottom style="thin">
        <color rgb="FF666666"/>
      </bottom>
    </border>
    <border>
      <left style="thin">
        <color rgb="FF666666"/>
      </left>
      <right style="thin">
        <color rgb="FF666666"/>
      </right>
      <top/>
      <bottom style="thin">
        <color rgb="FF666666"/>
      </bottom>
    </border>
    <border>
      <left style="thin">
        <color rgb="FF666666"/>
      </left>
      <right/>
      <top/>
      <bottom style="thin">
        <color rgb="FF666666"/>
      </bottom>
    </border>
    <border>
      <left style="thin">
        <color rgb="FF666666"/>
      </left>
      <top/>
      <bottom style="thin">
        <color rgb="FF666666"/>
      </bottom>
    </border>
    <border>
      <left/>
      <top style="thin">
        <color rgb="FFFFFFFF"/>
      </top>
      <bottom style="thin">
        <color rgb="FFFFFFF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/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/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DB5798"/>
      </left>
      <right style="thin">
        <color rgb="FFEFEFEF"/>
      </right>
      <top style="thin">
        <color rgb="FF666666"/>
      </top>
      <bottom style="thin">
        <color rgb="FFEFEFEF"/>
      </bottom>
    </border>
    <border>
      <right style="thin">
        <color rgb="FFEFEFEF"/>
      </right>
      <top style="thin">
        <color rgb="FF666666"/>
      </top>
      <bottom style="thin">
        <color rgb="FFEFEFEF"/>
      </bottom>
    </border>
    <border>
      <right/>
    </border>
    <border>
      <left/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/>
    </border>
    <border>
      <right/>
      <bottom/>
    </border>
    <border>
      <top/>
      <bottom style="thin">
        <color rgb="FF666666"/>
      </bottom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top style="thin">
        <color rgb="FF666666"/>
      </top>
      <bottom style="thin">
        <color rgb="FF666666"/>
      </bottom>
    </border>
    <border>
      <left/>
      <top style="thin">
        <color rgb="FFFFFFFF"/>
      </top>
    </border>
    <border>
      <left/>
      <bottom style="thin">
        <color rgb="FFFFFFFF"/>
      </bottom>
    </border>
    <border>
      <bottom style="thin">
        <color rgb="FFFFFFFF"/>
      </bottom>
    </border>
    <border>
      <left/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right style="thin">
        <color rgb="FFEFEFEF"/>
      </right>
      <top style="thin">
        <color rgb="FFEFEFEF"/>
      </top>
      <bottom style="thin">
        <color rgb="FFFFFFF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FFFFFF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top/>
      <bottom/>
    </border>
    <border>
      <top/>
      <bottom/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right style="thin">
        <color rgb="FFEFEFEF"/>
      </right>
      <top style="thin">
        <color rgb="FFFFFFF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FFFFFF"/>
      </top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000000"/>
      </top>
      <bottom style="thin">
        <color rgb="FF000000"/>
      </bottom>
    </border>
    <border>
      <right/>
      <top style="thin">
        <color rgb="FFFFFFFF"/>
      </top>
      <bottom style="thin">
        <color rgb="FFFFFFFF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EFEFEF"/>
      </bottom>
    </border>
    <border>
      <left style="thin">
        <color rgb="FFEFEFEF"/>
      </left>
      <right/>
      <bottom style="thin">
        <color rgb="FFEFEFEF"/>
      </bottom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2" fillId="0" fontId="1" numFmtId="3" xfId="0" applyAlignment="1" applyBorder="1" applyFont="1" applyNumberFormat="1">
      <alignment vertical="center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4" numFmtId="3" xfId="0" applyAlignment="1" applyBorder="1" applyFont="1" applyNumberFormat="1">
      <alignment horizontal="right" shrinkToFit="0" vertical="center" wrapText="1"/>
    </xf>
    <xf borderId="4" fillId="0" fontId="5" numFmtId="0" xfId="0" applyBorder="1" applyFont="1"/>
    <xf borderId="5" fillId="0" fontId="6" numFmtId="3" xfId="0" applyAlignment="1" applyBorder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shrinkToFit="0" vertical="center" wrapText="1"/>
    </xf>
    <xf borderId="6" fillId="2" fontId="8" numFmtId="3" xfId="0" applyAlignment="1" applyBorder="1" applyFill="1" applyFont="1" applyNumberFormat="1">
      <alignment horizontal="center" shrinkToFit="0" vertical="center" wrapText="1"/>
    </xf>
    <xf borderId="1" fillId="0" fontId="4" numFmtId="3" xfId="0" applyAlignment="1" applyBorder="1" applyFont="1" applyNumberFormat="1">
      <alignment horizontal="center" shrinkToFit="0" vertical="center" wrapText="1"/>
    </xf>
    <xf borderId="2" fillId="0" fontId="6" numFmtId="9" xfId="0" applyAlignment="1" applyBorder="1" applyFont="1" applyNumberFormat="1">
      <alignment horizontal="center" shrinkToFit="0" vertical="center" wrapText="1"/>
    </xf>
    <xf borderId="2" fillId="0" fontId="4" numFmtId="3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6" numFmtId="3" xfId="0" applyAlignment="1" applyBorder="1" applyFont="1" applyNumberFormat="1">
      <alignment horizontal="center" shrinkToFit="0" vertical="center" wrapText="1"/>
    </xf>
    <xf borderId="2" fillId="0" fontId="4" numFmtId="3" xfId="0" applyAlignment="1" applyBorder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2" fillId="0" fontId="9" numFmtId="10" xfId="0" applyAlignment="1" applyBorder="1" applyFont="1" applyNumberFormat="1">
      <alignment horizontal="center" shrinkToFit="0" vertical="center" wrapText="1"/>
    </xf>
    <xf borderId="3" fillId="0" fontId="4" numFmtId="3" xfId="0" applyAlignment="1" applyBorder="1" applyFont="1" applyNumberFormat="1">
      <alignment horizontal="center" shrinkToFit="0" vertical="center" wrapText="1"/>
    </xf>
    <xf borderId="2" fillId="0" fontId="9" numFmtId="3" xfId="0" applyAlignment="1" applyBorder="1" applyFont="1" applyNumberFormat="1">
      <alignment horizontal="center" shrinkToFit="0" vertical="center" wrapText="1"/>
    </xf>
    <xf borderId="7" fillId="3" fontId="10" numFmtId="3" xfId="0" applyAlignment="1" applyBorder="1" applyFill="1" applyFont="1" applyNumberFormat="1">
      <alignment horizontal="center" shrinkToFit="0" vertical="center" wrapText="1"/>
    </xf>
    <xf borderId="8" fillId="0" fontId="5" numFmtId="0" xfId="0" applyBorder="1" applyFont="1"/>
    <xf borderId="9" fillId="3" fontId="10" numFmtId="3" xfId="0" applyAlignment="1" applyBorder="1" applyFont="1" applyNumberFormat="1">
      <alignment horizontal="center" shrinkToFit="0" vertical="center" wrapText="1"/>
    </xf>
    <xf borderId="10" fillId="3" fontId="10" numFmtId="3" xfId="0" applyAlignment="1" applyBorder="1" applyFont="1" applyNumberFormat="1">
      <alignment horizontal="center" shrinkToFit="0" vertical="center" wrapText="1"/>
    </xf>
    <xf borderId="11" fillId="3" fontId="10" numFmtId="3" xfId="0" applyAlignment="1" applyBorder="1" applyFont="1" applyNumberFormat="1">
      <alignment horizontal="center" shrinkToFit="0" vertical="center" wrapText="1"/>
    </xf>
    <xf borderId="12" fillId="2" fontId="11" numFmtId="3" xfId="0" applyAlignment="1" applyBorder="1" applyFont="1" applyNumberFormat="1">
      <alignment vertical="center"/>
    </xf>
    <xf borderId="13" fillId="2" fontId="10" numFmtId="3" xfId="0" applyAlignment="1" applyBorder="1" applyFont="1" applyNumberFormat="1">
      <alignment horizontal="center" shrinkToFit="0" vertical="center" wrapText="1"/>
    </xf>
    <xf borderId="14" fillId="2" fontId="10" numFmtId="3" xfId="0" applyAlignment="1" applyBorder="1" applyFont="1" applyNumberFormat="1">
      <alignment horizontal="center" shrinkToFit="0" vertical="center" wrapText="1"/>
    </xf>
    <xf borderId="15" fillId="2" fontId="10" numFmtId="3" xfId="0" applyAlignment="1" applyBorder="1" applyFont="1" applyNumberFormat="1">
      <alignment horizontal="center" shrinkToFit="0" vertical="center" wrapText="1"/>
    </xf>
    <xf borderId="16" fillId="2" fontId="10" numFmtId="3" xfId="0" applyAlignment="1" applyBorder="1" applyFont="1" applyNumberFormat="1">
      <alignment horizontal="center" shrinkToFit="0" vertical="center" wrapText="1"/>
    </xf>
    <xf borderId="13" fillId="0" fontId="5" numFmtId="0" xfId="0" applyBorder="1" applyFont="1"/>
    <xf borderId="15" fillId="4" fontId="10" numFmtId="3" xfId="0" applyAlignment="1" applyBorder="1" applyFill="1" applyFont="1" applyNumberFormat="1">
      <alignment horizontal="center" shrinkToFit="0" vertical="center" wrapText="1"/>
    </xf>
    <xf borderId="16" fillId="4" fontId="10" numFmtId="3" xfId="0" applyAlignment="1" applyBorder="1" applyFont="1" applyNumberFormat="1">
      <alignment horizontal="center" shrinkToFit="0" vertical="center" wrapText="1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3" fontId="10" numFmtId="3" xfId="0" applyAlignment="1" applyBorder="1" applyFont="1" applyNumberFormat="1">
      <alignment horizontal="left" shrinkToFit="0" vertical="center" wrapText="1"/>
    </xf>
    <xf borderId="26" fillId="0" fontId="5" numFmtId="0" xfId="0" applyBorder="1" applyFont="1"/>
    <xf borderId="27" fillId="0" fontId="5" numFmtId="0" xfId="0" applyBorder="1" applyFont="1"/>
    <xf borderId="28" fillId="3" fontId="10" numFmtId="3" xfId="0" applyAlignment="1" applyBorder="1" applyFont="1" applyNumberFormat="1">
      <alignment horizontal="center" shrinkToFit="0" vertical="center" wrapText="1"/>
    </xf>
    <xf borderId="2" fillId="3" fontId="10" numFmtId="3" xfId="0" applyAlignment="1" applyBorder="1" applyFont="1" applyNumberFormat="1">
      <alignment horizontal="center" shrinkToFit="0" vertical="center" wrapText="1"/>
    </xf>
    <xf borderId="2" fillId="2" fontId="10" numFmtId="3" xfId="0" applyAlignment="1" applyBorder="1" applyFont="1" applyNumberFormat="1">
      <alignment horizontal="center" shrinkToFit="0" vertical="center" wrapText="1"/>
    </xf>
    <xf borderId="29" fillId="3" fontId="10" numFmtId="3" xfId="0" applyAlignment="1" applyBorder="1" applyFont="1" applyNumberFormat="1">
      <alignment horizontal="left" shrinkToFit="0" vertical="center" wrapText="1"/>
    </xf>
    <xf borderId="30" fillId="0" fontId="5" numFmtId="0" xfId="0" applyBorder="1" applyFont="1"/>
    <xf borderId="31" fillId="0" fontId="5" numFmtId="0" xfId="0" applyBorder="1" applyFont="1"/>
    <xf borderId="32" fillId="3" fontId="10" numFmtId="3" xfId="0" applyAlignment="1" applyBorder="1" applyFont="1" applyNumberFormat="1">
      <alignment horizontal="center" shrinkToFit="0" vertical="center" wrapText="1"/>
    </xf>
    <xf borderId="33" fillId="0" fontId="5" numFmtId="0" xfId="0" applyBorder="1" applyFont="1"/>
    <xf borderId="34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37" fillId="0" fontId="5" numFmtId="0" xfId="0" applyBorder="1" applyFont="1"/>
    <xf borderId="18" fillId="0" fontId="1" numFmtId="3" xfId="0" applyAlignment="1" applyBorder="1" applyFont="1" applyNumberFormat="1">
      <alignment vertical="center"/>
    </xf>
    <xf borderId="21" fillId="0" fontId="1" numFmtId="3" xfId="0" applyAlignment="1" applyBorder="1" applyFont="1" applyNumberFormat="1">
      <alignment vertical="center"/>
    </xf>
    <xf borderId="23" fillId="0" fontId="1" numFmtId="3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12" fillId="2" fontId="1" numFmtId="3" xfId="0" applyAlignment="1" applyBorder="1" applyFont="1" applyNumberFormat="1">
      <alignment vertical="center"/>
    </xf>
    <xf borderId="38" fillId="3" fontId="10" numFmtId="3" xfId="0" applyAlignment="1" applyBorder="1" applyFont="1" applyNumberFormat="1">
      <alignment horizontal="left" shrinkToFit="0" vertical="center" wrapText="1"/>
    </xf>
    <xf borderId="39" fillId="0" fontId="5" numFmtId="0" xfId="0" applyBorder="1" applyFont="1"/>
    <xf borderId="40" fillId="0" fontId="5" numFmtId="0" xfId="0" applyBorder="1" applyFont="1"/>
    <xf borderId="41" fillId="3" fontId="12" numFmtId="3" xfId="0" applyAlignment="1" applyBorder="1" applyFont="1" applyNumberFormat="1">
      <alignment horizontal="left" shrinkToFit="0" vertical="center" wrapText="1"/>
    </xf>
    <xf borderId="42" fillId="3" fontId="12" numFmtId="3" xfId="0" applyAlignment="1" applyBorder="1" applyFont="1" applyNumberFormat="1">
      <alignment horizontal="center" shrinkToFit="0" vertical="center" wrapText="1"/>
    </xf>
    <xf borderId="7" fillId="3" fontId="12" numFmtId="3" xfId="0" applyAlignment="1" applyBorder="1" applyFont="1" applyNumberFormat="1">
      <alignment horizontal="left" shrinkToFit="0" vertical="center" wrapText="1"/>
    </xf>
    <xf borderId="40" fillId="3" fontId="12" numFmtId="3" xfId="0" applyAlignment="1" applyBorder="1" applyFont="1" applyNumberFormat="1">
      <alignment horizontal="left" shrinkToFit="0" vertical="center" wrapText="1"/>
    </xf>
    <xf borderId="43" fillId="5" fontId="11" numFmtId="3" xfId="0" applyAlignment="1" applyBorder="1" applyFill="1" applyFont="1" applyNumberFormat="1">
      <alignment vertical="center"/>
    </xf>
    <xf borderId="44" fillId="6" fontId="13" numFmtId="3" xfId="0" applyAlignment="1" applyBorder="1" applyFill="1" applyFont="1" applyNumberFormat="1">
      <alignment vertical="center"/>
    </xf>
    <xf borderId="45" fillId="0" fontId="5" numFmtId="0" xfId="0" applyBorder="1" applyFont="1"/>
    <xf borderId="46" fillId="0" fontId="5" numFmtId="0" xfId="0" applyBorder="1" applyFont="1"/>
    <xf borderId="47" fillId="0" fontId="11" numFmtId="3" xfId="0" applyAlignment="1" applyBorder="1" applyFont="1" applyNumberFormat="1">
      <alignment horizontal="center" shrinkToFit="0" wrapText="1"/>
    </xf>
    <xf borderId="0" fillId="0" fontId="11" numFmtId="3" xfId="0" applyAlignment="1" applyFont="1" applyNumberFormat="1">
      <alignment horizontal="center" shrinkToFit="0" vertical="center" wrapText="1"/>
    </xf>
    <xf borderId="48" fillId="0" fontId="11" numFmtId="3" xfId="0" applyAlignment="1" applyBorder="1" applyFont="1" applyNumberFormat="1">
      <alignment horizontal="center" shrinkToFit="0" wrapText="1"/>
    </xf>
    <xf borderId="49" fillId="0" fontId="13" numFmtId="3" xfId="0" applyAlignment="1" applyBorder="1" applyFont="1" applyNumberFormat="1">
      <alignment horizontal="center" shrinkToFit="0" vertical="center" wrapText="1"/>
    </xf>
    <xf borderId="49" fillId="0" fontId="13" numFmtId="9" xfId="0" applyAlignment="1" applyBorder="1" applyFont="1" applyNumberFormat="1">
      <alignment horizontal="center" shrinkToFit="0" vertical="center" wrapText="1"/>
    </xf>
    <xf borderId="50" fillId="6" fontId="13" numFmtId="3" xfId="0" applyAlignment="1" applyBorder="1" applyFont="1" applyNumberFormat="1">
      <alignment horizontal="center" shrinkToFit="0" vertical="center" wrapText="1"/>
    </xf>
    <xf borderId="0" fillId="0" fontId="11" numFmtId="3" xfId="0" applyAlignment="1" applyFont="1" applyNumberFormat="1">
      <alignment horizontal="center" vertical="center"/>
    </xf>
    <xf borderId="51" fillId="6" fontId="13" numFmtId="3" xfId="0" applyAlignment="1" applyBorder="1" applyFont="1" applyNumberFormat="1">
      <alignment horizontal="center" shrinkToFit="0" vertical="center" wrapText="1"/>
    </xf>
    <xf borderId="52" fillId="5" fontId="11" numFmtId="3" xfId="0" applyAlignment="1" applyBorder="1" applyFont="1" applyNumberFormat="1">
      <alignment vertical="center"/>
    </xf>
    <xf borderId="53" fillId="0" fontId="11" numFmtId="3" xfId="0" applyAlignment="1" applyBorder="1" applyFont="1" applyNumberFormat="1">
      <alignment horizontal="center" shrinkToFit="0" wrapText="1"/>
    </xf>
    <xf borderId="54" fillId="0" fontId="11" numFmtId="3" xfId="0" applyAlignment="1" applyBorder="1" applyFont="1" applyNumberFormat="1">
      <alignment horizontal="center" shrinkToFit="0" wrapText="1"/>
    </xf>
    <xf borderId="55" fillId="0" fontId="11" numFmtId="3" xfId="0" applyAlignment="1" applyBorder="1" applyFont="1" applyNumberFormat="1">
      <alignment horizontal="center" shrinkToFit="0" vertical="bottom" wrapText="1"/>
    </xf>
    <xf borderId="55" fillId="0" fontId="11" numFmtId="3" xfId="0" applyAlignment="1" applyBorder="1" applyFont="1" applyNumberFormat="1">
      <alignment horizontal="center" shrinkToFit="0" wrapText="1"/>
    </xf>
    <xf borderId="28" fillId="5" fontId="11" numFmtId="3" xfId="0" applyAlignment="1" applyBorder="1" applyFont="1" applyNumberFormat="1">
      <alignment vertical="center"/>
    </xf>
    <xf borderId="56" fillId="5" fontId="11" numFmtId="3" xfId="0" applyAlignment="1" applyBorder="1" applyFont="1" applyNumberFormat="1">
      <alignment vertical="center"/>
    </xf>
    <xf borderId="57" fillId="5" fontId="11" numFmtId="3" xfId="0" applyAlignment="1" applyBorder="1" applyFont="1" applyNumberFormat="1">
      <alignment vertical="center"/>
    </xf>
    <xf borderId="58" fillId="6" fontId="11" numFmtId="3" xfId="0" applyAlignment="1" applyBorder="1" applyFont="1" applyNumberFormat="1">
      <alignment vertical="center"/>
    </xf>
    <xf borderId="54" fillId="6" fontId="11" numFmtId="3" xfId="0" applyAlignment="1" applyBorder="1" applyFont="1" applyNumberFormat="1">
      <alignment vertical="center"/>
    </xf>
    <xf borderId="49" fillId="6" fontId="11" numFmtId="3" xfId="0" applyAlignment="1" applyBorder="1" applyFont="1" applyNumberFormat="1">
      <alignment vertical="center"/>
    </xf>
    <xf borderId="49" fillId="6" fontId="11" numFmtId="3" xfId="0" applyAlignment="1" applyBorder="1" applyFont="1" applyNumberFormat="1">
      <alignment horizontal="right" vertical="center"/>
    </xf>
    <xf borderId="59" fillId="6" fontId="13" numFmtId="3" xfId="0" applyAlignment="1" applyBorder="1" applyFont="1" applyNumberFormat="1">
      <alignment horizontal="right" vertical="center"/>
    </xf>
    <xf borderId="60" fillId="6" fontId="11" numFmtId="3" xfId="0" applyAlignment="1" applyBorder="1" applyFont="1" applyNumberFormat="1">
      <alignment horizontal="center" vertical="center"/>
    </xf>
    <xf borderId="61" fillId="6" fontId="11" numFmtId="3" xfId="0" applyAlignment="1" applyBorder="1" applyFont="1" applyNumberFormat="1">
      <alignment vertical="center"/>
    </xf>
    <xf borderId="62" fillId="6" fontId="11" numFmtId="3" xfId="0" applyAlignment="1" applyBorder="1" applyFont="1" applyNumberFormat="1">
      <alignment vertical="center"/>
    </xf>
    <xf borderId="63" fillId="5" fontId="11" numFmtId="3" xfId="0" applyAlignment="1" applyBorder="1" applyFont="1" applyNumberFormat="1">
      <alignment vertical="center"/>
    </xf>
    <xf borderId="64" fillId="5" fontId="1" numFmtId="0" xfId="0" applyAlignment="1" applyBorder="1" applyFont="1">
      <alignment vertical="center"/>
    </xf>
    <xf borderId="65" fillId="5" fontId="1" numFmtId="0" xfId="0" applyAlignment="1" applyBorder="1" applyFont="1">
      <alignment vertical="center"/>
    </xf>
    <xf borderId="66" fillId="5" fontId="1" numFmtId="0" xfId="0" applyAlignment="1" applyBorder="1" applyFont="1">
      <alignment vertical="center"/>
    </xf>
    <xf borderId="51" fillId="5" fontId="1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67" fillId="5" fontId="1" numFmtId="0" xfId="0" applyAlignment="1" applyBorder="1" applyFont="1">
      <alignment horizontal="center" vertical="center"/>
    </xf>
    <xf borderId="68" fillId="3" fontId="12" numFmtId="3" xfId="0" applyAlignment="1" applyBorder="1" applyFont="1" applyNumberFormat="1">
      <alignment horizontal="left" shrinkToFit="0" vertical="center" wrapText="1"/>
    </xf>
    <xf borderId="39" fillId="3" fontId="12" numFmtId="3" xfId="0" applyAlignment="1" applyBorder="1" applyFont="1" applyNumberFormat="1">
      <alignment horizontal="left" shrinkToFit="0" vertical="center" wrapText="1"/>
    </xf>
    <xf borderId="69" fillId="5" fontId="11" numFmtId="3" xfId="0" applyAlignment="1" applyBorder="1" applyFont="1" applyNumberFormat="1">
      <alignment vertical="center"/>
    </xf>
    <xf borderId="70" fillId="7" fontId="10" numFmtId="3" xfId="0" applyAlignment="1" applyBorder="1" applyFill="1" applyFont="1" applyNumberFormat="1">
      <alignment horizontal="left" shrinkToFit="0" vertical="center" wrapText="1"/>
    </xf>
    <xf borderId="71" fillId="0" fontId="5" numFmtId="0" xfId="0" applyBorder="1" applyFont="1"/>
    <xf borderId="72" fillId="0" fontId="5" numFmtId="0" xfId="0" applyBorder="1" applyFont="1"/>
    <xf borderId="73" fillId="7" fontId="12" numFmtId="3" xfId="0" applyAlignment="1" applyBorder="1" applyFont="1" applyNumberFormat="1">
      <alignment horizontal="left" shrinkToFit="0" vertical="center" wrapText="1"/>
    </xf>
    <xf borderId="74" fillId="7" fontId="12" numFmtId="3" xfId="0" applyAlignment="1" applyBorder="1" applyFont="1" applyNumberFormat="1">
      <alignment horizontal="left" shrinkToFit="0" vertical="center" wrapText="1"/>
    </xf>
    <xf borderId="75" fillId="7" fontId="12" numFmtId="3" xfId="0" applyAlignment="1" applyBorder="1" applyFont="1" applyNumberFormat="1">
      <alignment horizontal="left" shrinkToFit="0" vertical="center" wrapText="1"/>
    </xf>
    <xf borderId="76" fillId="7" fontId="12" numFmtId="3" xfId="0" applyAlignment="1" applyBorder="1" applyFont="1" applyNumberFormat="1">
      <alignment horizontal="center" shrinkToFit="0" vertical="center" wrapText="1"/>
    </xf>
    <xf borderId="77" fillId="7" fontId="12" numFmtId="3" xfId="0" applyAlignment="1" applyBorder="1" applyFont="1" applyNumberFormat="1">
      <alignment horizontal="center" shrinkToFit="0" vertical="center" wrapText="1"/>
    </xf>
    <xf borderId="19" fillId="5" fontId="11" numFmtId="3" xfId="0" applyAlignment="1" applyBorder="1" applyFont="1" applyNumberFormat="1">
      <alignment vertical="center"/>
    </xf>
    <xf borderId="78" fillId="6" fontId="13" numFmtId="3" xfId="0" applyAlignment="1" applyBorder="1" applyFont="1" applyNumberFormat="1">
      <alignment vertical="center"/>
    </xf>
    <xf borderId="54" fillId="0" fontId="13" numFmtId="3" xfId="0" applyAlignment="1" applyBorder="1" applyFont="1" applyNumberFormat="1">
      <alignment horizontal="center" shrinkToFit="0" vertical="center" wrapText="1"/>
    </xf>
    <xf borderId="79" fillId="0" fontId="13" numFmtId="3" xfId="0" applyAlignment="1" applyBorder="1" applyFont="1" applyNumberFormat="1">
      <alignment horizontal="center" shrinkToFit="0" vertical="center" wrapText="1"/>
    </xf>
    <xf borderId="80" fillId="5" fontId="11" numFmtId="3" xfId="0" applyAlignment="1" applyBorder="1" applyFont="1" applyNumberFormat="1">
      <alignment vertical="center"/>
    </xf>
    <xf borderId="81" fillId="7" fontId="10" numFmtId="3" xfId="0" applyAlignment="1" applyBorder="1" applyFont="1" applyNumberFormat="1">
      <alignment horizontal="left" shrinkToFit="0" vertical="center" wrapText="1"/>
    </xf>
    <xf borderId="5" fillId="0" fontId="5" numFmtId="0" xfId="0" applyBorder="1" applyFont="1"/>
    <xf borderId="82" fillId="0" fontId="5" numFmtId="0" xfId="0" applyBorder="1" applyFont="1"/>
    <xf borderId="83" fillId="7" fontId="10" numFmtId="3" xfId="0" applyAlignment="1" applyBorder="1" applyFont="1" applyNumberFormat="1">
      <alignment horizontal="left" shrinkToFit="0" vertical="center" wrapText="1"/>
    </xf>
    <xf borderId="84" fillId="7" fontId="10" numFmtId="3" xfId="0" applyAlignment="1" applyBorder="1" applyFont="1" applyNumberFormat="1">
      <alignment horizontal="left" shrinkToFit="0" vertical="center" wrapText="1"/>
    </xf>
    <xf borderId="85" fillId="7" fontId="10" numFmtId="3" xfId="0" applyAlignment="1" applyBorder="1" applyFont="1" applyNumberFormat="1">
      <alignment horizontal="left" shrinkToFit="0" vertical="center" wrapText="1"/>
    </xf>
    <xf borderId="86" fillId="7" fontId="10" numFmtId="3" xfId="0" applyAlignment="1" applyBorder="1" applyFont="1" applyNumberFormat="1">
      <alignment horizontal="center" shrinkToFit="0" vertical="center" wrapText="1"/>
    </xf>
    <xf borderId="87" fillId="7" fontId="10" numFmtId="3" xfId="0" applyAlignment="1" applyBorder="1" applyFont="1" applyNumberFormat="1">
      <alignment horizontal="left" shrinkToFit="0" vertical="center" wrapText="1"/>
    </xf>
    <xf borderId="88" fillId="0" fontId="11" numFmtId="3" xfId="0" applyAlignment="1" applyBorder="1" applyFont="1" applyNumberFormat="1">
      <alignment horizontal="center" shrinkToFit="0" wrapText="1"/>
    </xf>
    <xf borderId="89" fillId="0" fontId="11" numFmtId="3" xfId="0" applyAlignment="1" applyBorder="1" applyFont="1" applyNumberFormat="1">
      <alignment horizontal="center" shrinkToFit="0" wrapText="1"/>
    </xf>
    <xf borderId="54" fillId="0" fontId="11" numFmtId="3" xfId="0" applyAlignment="1" applyBorder="1" applyFont="1" applyNumberFormat="1">
      <alignment horizontal="center" shrinkToFit="0" vertical="center" wrapText="1"/>
    </xf>
    <xf borderId="54" fillId="0" fontId="14" numFmtId="3" xfId="0" applyBorder="1" applyFont="1" applyNumberFormat="1"/>
    <xf borderId="90" fillId="6" fontId="11" numFmtId="3" xfId="0" applyAlignment="1" applyBorder="1" applyFont="1" applyNumberFormat="1">
      <alignment horizontal="center" vertical="center"/>
    </xf>
    <xf borderId="91" fillId="5" fontId="1" numFmtId="3" xfId="0" applyAlignment="1" applyBorder="1" applyFont="1" applyNumberFormat="1">
      <alignment vertical="center"/>
    </xf>
    <xf borderId="46" fillId="5" fontId="1" numFmtId="3" xfId="0" applyAlignment="1" applyBorder="1" applyFont="1" applyNumberFormat="1">
      <alignment vertical="center"/>
    </xf>
    <xf borderId="63" fillId="5" fontId="1" numFmtId="3" xfId="0" applyAlignment="1" applyBorder="1" applyFont="1" applyNumberFormat="1">
      <alignment vertical="center"/>
    </xf>
    <xf borderId="92" fillId="5" fontId="1" numFmtId="3" xfId="0" applyAlignment="1" applyBorder="1" applyFont="1" applyNumberFormat="1">
      <alignment horizontal="center" vertical="center"/>
    </xf>
    <xf borderId="0" fillId="5" fontId="1" numFmtId="3" xfId="0" applyAlignment="1" applyFont="1" applyNumberFormat="1">
      <alignment horizontal="center" vertical="center"/>
    </xf>
    <xf borderId="46" fillId="5" fontId="11" numFmtId="3" xfId="0" applyAlignment="1" applyBorder="1" applyFont="1" applyNumberFormat="1">
      <alignment vertical="center"/>
    </xf>
    <xf borderId="92" fillId="5" fontId="11" numFmtId="3" xfId="0" applyAlignment="1" applyBorder="1" applyFont="1" applyNumberFormat="1">
      <alignment horizontal="center" vertical="center"/>
    </xf>
    <xf borderId="93" fillId="5" fontId="11" numFmtId="3" xfId="0" applyAlignment="1" applyBorder="1" applyFont="1" applyNumberFormat="1">
      <alignment horizontal="center" vertical="center"/>
    </xf>
    <xf borderId="38" fillId="3" fontId="12" numFmtId="3" xfId="0" applyAlignment="1" applyBorder="1" applyFont="1" applyNumberFormat="1">
      <alignment horizontal="left" shrinkToFit="0" vertical="center" wrapText="1"/>
    </xf>
    <xf borderId="40" fillId="3" fontId="10" numFmtId="3" xfId="0" applyAlignment="1" applyBorder="1" applyFont="1" applyNumberFormat="1">
      <alignment horizontal="left" shrinkToFit="0" vertical="center" wrapText="1"/>
    </xf>
    <xf borderId="41" fillId="3" fontId="10" numFmtId="3" xfId="0" applyAlignment="1" applyBorder="1" applyFont="1" applyNumberFormat="1">
      <alignment horizontal="left" shrinkToFit="0" vertical="center" wrapText="1"/>
    </xf>
    <xf borderId="42" fillId="3" fontId="10" numFmtId="3" xfId="0" applyAlignment="1" applyBorder="1" applyFont="1" applyNumberFormat="1">
      <alignment horizontal="center" shrinkToFit="0" vertical="center" wrapText="1"/>
    </xf>
    <xf borderId="38" fillId="3" fontId="12" numFmtId="3" xfId="0" applyAlignment="1" applyBorder="1" applyFont="1" applyNumberFormat="1">
      <alignment horizontal="center" shrinkToFit="0" vertical="center" wrapText="1"/>
    </xf>
    <xf borderId="77" fillId="7" fontId="10" numFmtId="3" xfId="0" applyAlignment="1" applyBorder="1" applyFont="1" applyNumberFormat="1">
      <alignment horizontal="left" shrinkToFit="0" vertical="center" wrapText="1"/>
    </xf>
    <xf borderId="94" fillId="0" fontId="5" numFmtId="0" xfId="0" applyBorder="1" applyFont="1"/>
    <xf borderId="74" fillId="0" fontId="5" numFmtId="0" xfId="0" applyBorder="1" applyFont="1"/>
    <xf borderId="74" fillId="7" fontId="10" numFmtId="3" xfId="0" applyAlignment="1" applyBorder="1" applyFont="1" applyNumberFormat="1">
      <alignment horizontal="left" shrinkToFit="0" vertical="center" wrapText="1"/>
    </xf>
    <xf borderId="75" fillId="7" fontId="10" numFmtId="3" xfId="0" applyAlignment="1" applyBorder="1" applyFont="1" applyNumberFormat="1">
      <alignment horizontal="left" shrinkToFit="0" vertical="center" wrapText="1"/>
    </xf>
    <xf borderId="76" fillId="7" fontId="10" numFmtId="3" xfId="0" applyAlignment="1" applyBorder="1" applyFont="1" applyNumberFormat="1">
      <alignment horizontal="center" shrinkToFit="0" vertical="center" wrapText="1"/>
    </xf>
    <xf borderId="95" fillId="6" fontId="13" numFmtId="3" xfId="0" applyAlignment="1" applyBorder="1" applyFont="1" applyNumberFormat="1">
      <alignment vertical="center"/>
    </xf>
    <xf borderId="96" fillId="0" fontId="5" numFmtId="0" xfId="0" applyBorder="1" applyFont="1"/>
    <xf borderId="97" fillId="0" fontId="5" numFmtId="0" xfId="0" applyBorder="1" applyFont="1"/>
    <xf borderId="62" fillId="0" fontId="13" numFmtId="3" xfId="0" applyAlignment="1" applyBorder="1" applyFont="1" applyNumberFormat="1">
      <alignment horizontal="center" shrinkToFit="0" vertical="center" wrapText="1"/>
    </xf>
    <xf borderId="98" fillId="0" fontId="13" numFmtId="3" xfId="0" applyAlignment="1" applyBorder="1" applyFont="1" applyNumberFormat="1">
      <alignment horizontal="center" shrinkToFit="0" vertical="center" wrapText="1"/>
    </xf>
    <xf borderId="99" fillId="0" fontId="13" numFmtId="3" xfId="0" applyAlignment="1" applyBorder="1" applyFont="1" applyNumberFormat="1">
      <alignment horizontal="center" shrinkToFit="0" vertical="center" wrapText="1"/>
    </xf>
    <xf borderId="100" fillId="0" fontId="5" numFmtId="0" xfId="0" applyBorder="1" applyFont="1"/>
    <xf borderId="84" fillId="0" fontId="5" numFmtId="0" xfId="0" applyBorder="1" applyFont="1"/>
    <xf borderId="83" fillId="7" fontId="12" numFmtId="3" xfId="0" applyAlignment="1" applyBorder="1" applyFont="1" applyNumberFormat="1">
      <alignment horizontal="left" shrinkToFit="0" vertical="center" wrapText="1"/>
    </xf>
    <xf borderId="84" fillId="7" fontId="12" numFmtId="3" xfId="0" applyAlignment="1" applyBorder="1" applyFont="1" applyNumberFormat="1">
      <alignment horizontal="left" shrinkToFit="0" vertical="center" wrapText="1"/>
    </xf>
    <xf borderId="85" fillId="7" fontId="12" numFmtId="3" xfId="0" applyAlignment="1" applyBorder="1" applyFont="1" applyNumberFormat="1">
      <alignment horizontal="left" shrinkToFit="0" vertical="center" wrapText="1"/>
    </xf>
    <xf borderId="86" fillId="7" fontId="12" numFmtId="3" xfId="0" applyAlignment="1" applyBorder="1" applyFont="1" applyNumberFormat="1">
      <alignment horizontal="center" shrinkToFit="0" vertical="center" wrapText="1"/>
    </xf>
    <xf borderId="87" fillId="7" fontId="12" numFmtId="3" xfId="0" applyAlignment="1" applyBorder="1" applyFont="1" applyNumberFormat="1">
      <alignment horizontal="left" shrinkToFit="0" vertical="center" wrapText="1"/>
    </xf>
    <xf borderId="87" fillId="7" fontId="12" numFmtId="3" xfId="0" applyAlignment="1" applyBorder="1" applyFont="1" applyNumberFormat="1">
      <alignment horizontal="center" shrinkToFit="0" vertical="center" wrapText="1"/>
    </xf>
    <xf borderId="101" fillId="6" fontId="13" numFmtId="3" xfId="0" applyAlignment="1" applyBorder="1" applyFont="1" applyNumberFormat="1">
      <alignment vertical="center"/>
    </xf>
    <xf borderId="1" fillId="0" fontId="5" numFmtId="0" xfId="0" applyBorder="1" applyFont="1"/>
    <xf borderId="102" fillId="6" fontId="13" numFmtId="3" xfId="0" applyAlignment="1" applyBorder="1" applyFont="1" applyNumberFormat="1">
      <alignment vertical="center"/>
    </xf>
    <xf borderId="103" fillId="0" fontId="5" numFmtId="0" xfId="0" applyBorder="1" applyFont="1"/>
    <xf borderId="104" fillId="6" fontId="13" numFmtId="3" xfId="0" applyAlignment="1" applyBorder="1" applyFont="1" applyNumberFormat="1">
      <alignment vertical="center"/>
    </xf>
    <xf borderId="105" fillId="7" fontId="10" numFmtId="3" xfId="0" applyAlignment="1" applyBorder="1" applyFont="1" applyNumberFormat="1">
      <alignment horizontal="left" shrinkToFit="0" vertical="center" wrapText="1"/>
    </xf>
    <xf borderId="106" fillId="0" fontId="5" numFmtId="0" xfId="0" applyBorder="1" applyFont="1"/>
    <xf borderId="107" fillId="0" fontId="5" numFmtId="0" xfId="0" applyBorder="1" applyFont="1"/>
    <xf borderId="87" fillId="7" fontId="10" numFmtId="3" xfId="0" applyAlignment="1" applyBorder="1" applyFont="1" applyNumberFormat="1">
      <alignment horizontal="center" shrinkToFit="0" vertical="center" wrapText="1"/>
    </xf>
    <xf borderId="108" fillId="0" fontId="13" numFmtId="3" xfId="0" applyAlignment="1" applyBorder="1" applyFont="1" applyNumberFormat="1">
      <alignment horizontal="center" shrinkToFit="0" vertical="center" wrapText="1"/>
    </xf>
    <xf borderId="109" fillId="0" fontId="13" numFmtId="3" xfId="0" applyAlignment="1" applyBorder="1" applyFont="1" applyNumberFormat="1">
      <alignment horizontal="center" shrinkToFit="0" vertical="center" wrapText="1"/>
    </xf>
    <xf borderId="91" fillId="5" fontId="11" numFmtId="3" xfId="0" applyAlignment="1" applyBorder="1" applyFont="1" applyNumberFormat="1">
      <alignment vertical="center"/>
    </xf>
    <xf borderId="0" fillId="5" fontId="11" numFmtId="3" xfId="0" applyAlignment="1" applyFont="1" applyNumberFormat="1">
      <alignment horizontal="center" vertical="center"/>
    </xf>
    <xf borderId="110" fillId="3" fontId="12" numFmtId="3" xfId="0" applyAlignment="1" applyBorder="1" applyFont="1" applyNumberFormat="1">
      <alignment horizontal="left" shrinkToFit="0" vertical="center" wrapText="1"/>
    </xf>
    <xf borderId="111" fillId="3" fontId="12" numFmtId="3" xfId="0" applyAlignment="1" applyBorder="1" applyFont="1" applyNumberFormat="1">
      <alignment horizontal="left" shrinkToFit="0" vertical="center" wrapText="1"/>
    </xf>
    <xf borderId="112" fillId="3" fontId="12" numFmtId="3" xfId="0" applyAlignment="1" applyBorder="1" applyFont="1" applyNumberFormat="1">
      <alignment horizontal="left" shrinkToFit="0" vertical="center" wrapText="1"/>
    </xf>
    <xf borderId="113" fillId="3" fontId="12" numFmtId="3" xfId="0" applyAlignment="1" applyBorder="1" applyFont="1" applyNumberFormat="1">
      <alignment horizontal="center" shrinkToFit="0" vertical="center" wrapText="1"/>
    </xf>
    <xf borderId="114" fillId="3" fontId="12" numFmtId="3" xfId="0" applyAlignment="1" applyBorder="1" applyFont="1" applyNumberFormat="1">
      <alignment horizontal="center" shrinkToFit="0" vertical="center" wrapText="1"/>
    </xf>
    <xf borderId="111" fillId="3" fontId="10" numFmtId="3" xfId="0" applyAlignment="1" applyBorder="1" applyFont="1" applyNumberFormat="1">
      <alignment horizontal="left" shrinkToFit="0" vertical="center" wrapText="1"/>
    </xf>
    <xf borderId="112" fillId="3" fontId="10" numFmtId="3" xfId="0" applyAlignment="1" applyBorder="1" applyFont="1" applyNumberFormat="1">
      <alignment horizontal="left" shrinkToFit="0" vertical="center" wrapText="1"/>
    </xf>
    <xf borderId="113" fillId="3" fontId="10" numFmtId="3" xfId="0" applyAlignment="1" applyBorder="1" applyFont="1" applyNumberFormat="1">
      <alignment horizontal="center" shrinkToFit="0" vertical="center" wrapText="1"/>
    </xf>
    <xf borderId="93" fillId="3" fontId="10" numFmtId="3" xfId="0" applyAlignment="1" applyBorder="1" applyFont="1" applyNumberFormat="1">
      <alignment horizontal="center" shrinkToFit="0" vertical="center" wrapText="1"/>
    </xf>
    <xf borderId="55" fillId="0" fontId="1" numFmtId="3" xfId="0" applyAlignment="1" applyBorder="1" applyFont="1" applyNumberFormat="1">
      <alignment horizontal="center" shrinkToFit="0" wrapText="1"/>
    </xf>
    <xf borderId="115" fillId="6" fontId="13" numFmtId="3" xfId="0" applyAlignment="1" applyBorder="1" applyFont="1" applyNumberFormat="1">
      <alignment vertical="center"/>
    </xf>
    <xf borderId="116" fillId="0" fontId="5" numFmtId="0" xfId="0" applyBorder="1" applyFont="1"/>
    <xf borderId="65" fillId="0" fontId="5" numFmtId="0" xfId="0" applyBorder="1" applyFont="1"/>
    <xf borderId="117" fillId="0" fontId="13" numFmtId="3" xfId="0" applyAlignment="1" applyBorder="1" applyFont="1" applyNumberFormat="1">
      <alignment horizontal="center" shrinkToFit="0" vertical="center" wrapText="1"/>
    </xf>
    <xf borderId="118" fillId="0" fontId="13" numFmtId="3" xfId="0" applyAlignment="1" applyBorder="1" applyFont="1" applyNumberFormat="1">
      <alignment horizontal="center" shrinkToFit="0" vertical="center" wrapText="1"/>
    </xf>
    <xf borderId="119" fillId="0" fontId="13" numFmtId="3" xfId="0" applyAlignment="1" applyBorder="1" applyFont="1" applyNumberFormat="1">
      <alignment horizontal="center" shrinkToFit="0" vertical="center" wrapText="1"/>
    </xf>
    <xf borderId="120" fillId="0" fontId="13" numFmtId="3" xfId="0" applyAlignment="1" applyBorder="1" applyFont="1" applyNumberFormat="1">
      <alignment horizontal="center" shrinkToFit="0" vertical="center" wrapText="1"/>
    </xf>
    <xf borderId="68" fillId="3" fontId="10" numFmtId="3" xfId="0" applyAlignment="1" applyBorder="1" applyFont="1" applyNumberFormat="1">
      <alignment horizontal="left" shrinkToFit="0" vertical="center" wrapText="1"/>
    </xf>
    <xf borderId="38" fillId="3" fontId="10" numFmtId="3" xfId="0" applyAlignment="1" applyBorder="1" applyFont="1" applyNumberFormat="1">
      <alignment horizontal="center" shrinkToFit="0" vertical="center" wrapText="1"/>
    </xf>
    <xf borderId="73" fillId="7" fontId="10" numFmtId="3" xfId="0" applyAlignment="1" applyBorder="1" applyFont="1" applyNumberFormat="1">
      <alignment horizontal="left" shrinkToFit="0" vertical="center" wrapText="1"/>
    </xf>
    <xf borderId="77" fillId="7" fontId="10" numFmtId="3" xfId="0" applyAlignment="1" applyBorder="1" applyFont="1" applyNumberFormat="1">
      <alignment horizontal="center" shrinkToFit="0" vertical="center" wrapText="1"/>
    </xf>
    <xf borderId="121" fillId="5" fontId="11" numFmtId="3" xfId="0" applyAlignment="1" applyBorder="1" applyFont="1" applyNumberFormat="1">
      <alignment vertical="center"/>
    </xf>
    <xf borderId="0" fillId="5" fontId="11" numFmtId="3" xfId="0" applyAlignment="1" applyFont="1" applyNumberFormat="1">
      <alignment vertical="center"/>
    </xf>
    <xf borderId="100" fillId="7" fontId="10" numFmtId="3" xfId="0" applyAlignment="1" applyBorder="1" applyFont="1" applyNumberFormat="1">
      <alignment horizontal="left" shrinkToFit="0" vertical="center" wrapText="1"/>
    </xf>
    <xf borderId="122" fillId="5" fontId="11" numFmtId="3" xfId="0" applyAlignment="1" applyBorder="1" applyFont="1" applyNumberFormat="1">
      <alignment vertical="center"/>
    </xf>
    <xf borderId="78" fillId="6" fontId="11" numFmtId="3" xfId="0" applyAlignment="1" applyBorder="1" applyFont="1" applyNumberFormat="1">
      <alignment vertical="bottom"/>
    </xf>
    <xf borderId="102" fillId="6" fontId="11" numFmtId="3" xfId="0" applyAlignment="1" applyBorder="1" applyFont="1" applyNumberFormat="1">
      <alignment vertical="bottom"/>
    </xf>
    <xf borderId="95" fillId="6" fontId="11" numFmtId="3" xfId="0" applyAlignment="1" applyBorder="1" applyFont="1" applyNumberFormat="1">
      <alignment vertical="bottom"/>
    </xf>
    <xf borderId="0" fillId="0" fontId="15" numFmtId="0" xfId="0" applyAlignment="1" applyFont="1">
      <alignment vertical="center"/>
    </xf>
    <xf borderId="28" fillId="0" fontId="11" numFmtId="3" xfId="0" applyAlignment="1" applyBorder="1" applyFont="1" applyNumberFormat="1">
      <alignment vertical="center"/>
    </xf>
    <xf borderId="80" fillId="5" fontId="11" numFmtId="3" xfId="0" applyAlignment="1" applyBorder="1" applyFont="1" applyNumberFormat="1">
      <alignment horizontal="center" vertical="center"/>
    </xf>
    <xf borderId="27" fillId="0" fontId="11" numFmtId="3" xfId="0" applyAlignment="1" applyBorder="1" applyFont="1" applyNumberFormat="1">
      <alignment vertical="center"/>
    </xf>
    <xf borderId="52" fillId="0" fontId="11" numFmtId="3" xfId="0" applyAlignment="1" applyBorder="1" applyFont="1" applyNumberFormat="1">
      <alignment horizontal="center" vertical="center"/>
    </xf>
    <xf borderId="28" fillId="5" fontId="13" numFmtId="3" xfId="0" applyAlignment="1" applyBorder="1" applyFont="1" applyNumberFormat="1">
      <alignment horizontal="right" shrinkToFit="0" vertical="center" wrapText="1"/>
    </xf>
    <xf borderId="28" fillId="5" fontId="11" numFmtId="0" xfId="0" applyAlignment="1" applyBorder="1" applyFont="1">
      <alignment vertical="center"/>
    </xf>
    <xf borderId="80" fillId="5" fontId="13" numFmtId="3" xfId="0" applyAlignment="1" applyBorder="1" applyFont="1" applyNumberFormat="1">
      <alignment horizontal="right" vertical="center"/>
    </xf>
    <xf borderId="69" fillId="6" fontId="13" numFmtId="3" xfId="0" applyAlignment="1" applyBorder="1" applyFont="1" applyNumberFormat="1">
      <alignment horizontal="center" shrinkToFit="0" vertical="center" wrapText="1"/>
    </xf>
    <xf borderId="27" fillId="5" fontId="13" numFmtId="3" xfId="0" applyAlignment="1" applyBorder="1" applyFont="1" applyNumberFormat="1">
      <alignment horizontal="right" shrinkToFit="0" vertical="center" wrapText="1"/>
    </xf>
    <xf borderId="80" fillId="6" fontId="13" numFmtId="3" xfId="0" applyAlignment="1" applyBorder="1" applyFont="1" applyNumberFormat="1">
      <alignment horizontal="center" shrinkToFit="0" vertical="center" wrapText="1"/>
    </xf>
    <xf borderId="63" fillId="5" fontId="13" numFmtId="3" xfId="0" applyAlignment="1" applyBorder="1" applyFont="1" applyNumberFormat="1">
      <alignment horizontal="right" vertical="center"/>
    </xf>
    <xf borderId="63" fillId="5" fontId="13" numFmtId="3" xfId="0" applyAlignment="1" applyBorder="1" applyFont="1" applyNumberFormat="1">
      <alignment horizontal="right" shrinkToFit="0" vertical="center" wrapText="1"/>
    </xf>
    <xf borderId="92" fillId="6" fontId="13" numFmtId="9" xfId="0" applyAlignment="1" applyBorder="1" applyFont="1" applyNumberFormat="1">
      <alignment horizontal="center" shrinkToFit="0" vertical="center" wrapText="1"/>
    </xf>
    <xf borderId="92" fillId="6" fontId="13" numFmtId="3" xfId="0" applyAlignment="1" applyBorder="1" applyFont="1" applyNumberFormat="1">
      <alignment horizontal="center" shrinkToFit="0" vertical="center" wrapText="1"/>
    </xf>
    <xf borderId="46" fillId="5" fontId="13" numFmtId="3" xfId="0" applyAlignment="1" applyBorder="1" applyFont="1" applyNumberFormat="1">
      <alignment horizontal="right" shrinkToFit="0" vertical="center" wrapText="1"/>
    </xf>
    <xf borderId="41" fillId="3" fontId="10" numFmtId="3" xfId="0" applyAlignment="1" applyBorder="1" applyFont="1" applyNumberFormat="1">
      <alignment horizontal="right" shrinkToFit="0" vertical="center" wrapText="1"/>
    </xf>
    <xf borderId="42" fillId="3" fontId="10" numFmtId="3" xfId="0" applyAlignment="1" applyBorder="1" applyFont="1" applyNumberFormat="1">
      <alignment horizontal="right" vertical="center"/>
    </xf>
    <xf borderId="123" fillId="3" fontId="8" numFmtId="3" xfId="0" applyAlignment="1" applyBorder="1" applyFont="1" applyNumberFormat="1">
      <alignment horizontal="center" shrinkToFit="0" vertical="center" wrapText="1"/>
    </xf>
    <xf borderId="40" fillId="3" fontId="10" numFmtId="3" xfId="0" applyAlignment="1" applyBorder="1" applyFont="1" applyNumberFormat="1">
      <alignment horizontal="right" shrinkToFit="0" vertical="center" wrapText="1"/>
    </xf>
    <xf borderId="121" fillId="5" fontId="13" numFmtId="3" xfId="0" applyAlignment="1" applyBorder="1" applyFont="1" applyNumberFormat="1">
      <alignment horizontal="right" shrinkToFit="0" vertical="center" wrapText="1"/>
    </xf>
    <xf borderId="121" fillId="5" fontId="13" numFmtId="3" xfId="0" applyAlignment="1" applyBorder="1" applyFont="1" applyNumberFormat="1">
      <alignment horizontal="right" vertical="center"/>
    </xf>
    <xf borderId="69" fillId="6" fontId="13" numFmtId="9" xfId="0" applyAlignment="1" applyBorder="1" applyFont="1" applyNumberFormat="1">
      <alignment horizontal="center" shrinkToFit="0" vertical="center" wrapText="1"/>
    </xf>
    <xf borderId="97" fillId="5" fontId="13" numFmtId="3" xfId="0" applyAlignment="1" applyBorder="1" applyFont="1" applyNumberFormat="1">
      <alignment horizontal="right" shrinkToFit="0" vertical="center" wrapText="1"/>
    </xf>
    <xf borderId="90" fillId="5" fontId="13" numFmtId="3" xfId="0" applyAlignment="1" applyBorder="1" applyFont="1" applyNumberFormat="1">
      <alignment horizontal="right" vertical="center"/>
    </xf>
    <xf borderId="42" fillId="3" fontId="8" numFmtId="3" xfId="0" applyAlignment="1" applyBorder="1" applyFont="1" applyNumberFormat="1">
      <alignment horizontal="right" vertical="center"/>
    </xf>
    <xf borderId="66" fillId="5" fontId="13" numFmtId="3" xfId="0" applyAlignment="1" applyBorder="1" applyFont="1" applyNumberFormat="1">
      <alignment horizontal="right" shrinkToFit="0" vertical="center" wrapText="1"/>
    </xf>
    <xf borderId="66" fillId="5" fontId="13" numFmtId="3" xfId="0" applyAlignment="1" applyBorder="1" applyFont="1" applyNumberFormat="1">
      <alignment horizontal="right" vertical="center"/>
    </xf>
    <xf borderId="65" fillId="5" fontId="13" numFmtId="3" xfId="0" applyAlignment="1" applyBorder="1" applyFont="1" applyNumberFormat="1">
      <alignment horizontal="right" shrinkToFit="0" vertical="center" wrapText="1"/>
    </xf>
    <xf borderId="123" fillId="3" fontId="16" numFmtId="3" xfId="0" applyAlignment="1" applyBorder="1" applyFont="1" applyNumberFormat="1">
      <alignment horizontal="center" shrinkToFit="0" vertical="center" wrapText="1"/>
    </xf>
    <xf borderId="124" fillId="5" fontId="13" numFmtId="3" xfId="0" applyAlignment="1" applyBorder="1" applyFont="1" applyNumberFormat="1">
      <alignment horizontal="right" vertical="center"/>
    </xf>
    <xf borderId="0" fillId="0" fontId="17" numFmtId="3" xfId="0" applyAlignment="1" applyFont="1" applyNumberFormat="1">
      <alignment horizontal="left" shrinkToFit="0" vertical="top" wrapText="1"/>
    </xf>
    <xf borderId="117" fillId="0" fontId="5" numFmtId="0" xfId="0" applyBorder="1" applyFont="1"/>
    <xf borderId="0" fillId="2" fontId="8" numFmtId="3" xfId="0" applyAlignment="1" applyFont="1" applyNumberFormat="1">
      <alignment horizontal="center" shrinkToFit="0" vertical="center" wrapText="1"/>
    </xf>
    <xf borderId="80" fillId="2" fontId="8" numFmtId="3" xfId="0" applyAlignment="1" applyBorder="1" applyFont="1" applyNumberFormat="1">
      <alignment horizontal="center" shrinkToFit="0" vertical="center" wrapText="1"/>
    </xf>
    <xf borderId="0" fillId="4" fontId="8" numFmtId="3" xfId="0" applyAlignment="1" applyFont="1" applyNumberFormat="1">
      <alignment horizontal="center" shrinkToFit="0" vertical="center" wrapText="1"/>
    </xf>
    <xf borderId="80" fillId="4" fontId="8" numFmtId="3" xfId="0" applyAlignment="1" applyBorder="1" applyFont="1" applyNumberFormat="1">
      <alignment horizontal="center" shrinkToFit="0" vertical="center" wrapText="1"/>
    </xf>
    <xf borderId="80" fillId="2" fontId="8" numFmtId="9" xfId="0" applyAlignment="1" applyBorder="1" applyFont="1" applyNumberFormat="1">
      <alignment horizontal="center" shrinkToFit="0" vertical="center" wrapText="1"/>
    </xf>
    <xf borderId="80" fillId="4" fontId="8" numFmtId="10" xfId="0" applyAlignment="1" applyBorder="1" applyFont="1" applyNumberFormat="1">
      <alignment horizontal="center" shrinkToFit="0" vertical="center" wrapText="1"/>
    </xf>
    <xf borderId="92" fillId="2" fontId="8" numFmtId="9" xfId="0" applyAlignment="1" applyBorder="1" applyFont="1" applyNumberFormat="1">
      <alignment horizontal="center" shrinkToFit="0" vertical="center" wrapText="1"/>
    </xf>
    <xf borderId="92" fillId="4" fontId="8" numFmtId="9" xfId="0" applyAlignment="1" applyBorder="1" applyFont="1" applyNumberFormat="1">
      <alignment horizontal="center" shrinkToFit="0" vertical="center" wrapText="1"/>
    </xf>
    <xf borderId="125" fillId="5" fontId="1" numFmtId="3" xfId="0" applyAlignment="1" applyBorder="1" applyFont="1" applyNumberFormat="1">
      <alignment vertical="center"/>
    </xf>
    <xf borderId="0" fillId="0" fontId="18" numFmtId="0" xfId="0" applyAlignment="1" applyFont="1">
      <alignment vertical="center"/>
    </xf>
    <xf borderId="126" fillId="5" fontId="1" numFmtId="3" xfId="0" applyAlignment="1" applyBorder="1" applyFont="1" applyNumberFormat="1">
      <alignment vertical="center"/>
    </xf>
    <xf borderId="54" fillId="0" fontId="1" numFmtId="3" xfId="0" applyAlignment="1" applyBorder="1" applyFont="1" applyNumberFormat="1">
      <alignment horizontal="center" shrinkToFit="0" wrapText="1"/>
    </xf>
    <xf borderId="5" fillId="0" fontId="19" numFmtId="3" xfId="0" applyAlignment="1" applyBorder="1" applyFont="1" applyNumberFormat="1">
      <alignment horizontal="center" shrinkToFit="0" vertical="center" wrapText="1"/>
    </xf>
    <xf borderId="6" fillId="2" fontId="20" numFmtId="3" xfId="0" applyAlignment="1" applyBorder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2" fillId="0" fontId="19" numFmtId="9" xfId="0" applyAlignment="1" applyBorder="1" applyFont="1" applyNumberFormat="1">
      <alignment horizontal="center" shrinkToFit="0" vertical="center" wrapText="1"/>
    </xf>
    <xf borderId="2" fillId="0" fontId="3" numFmtId="3" xfId="0" applyAlignment="1" applyBorder="1" applyFont="1" applyNumberFormat="1">
      <alignment horizontal="center" shrinkToFit="0" vertical="center" wrapText="1"/>
    </xf>
    <xf borderId="2" fillId="0" fontId="19" numFmtId="164" xfId="0" applyAlignment="1" applyBorder="1" applyFont="1" applyNumberFormat="1">
      <alignment horizontal="center" shrinkToFit="0" vertical="center" wrapText="1"/>
    </xf>
    <xf borderId="2" fillId="0" fontId="19" numFmtId="3" xfId="0" applyAlignment="1" applyBorder="1" applyFont="1" applyNumberFormat="1">
      <alignment horizontal="center" shrinkToFit="0" vertical="center" wrapText="1"/>
    </xf>
    <xf borderId="2" fillId="0" fontId="3" numFmtId="3" xfId="0" applyAlignment="1" applyBorder="1" applyFont="1" applyNumberFormat="1">
      <alignment vertical="center"/>
    </xf>
    <xf borderId="0" fillId="0" fontId="3" numFmtId="0" xfId="0" applyAlignment="1" applyFont="1">
      <alignment horizontal="center" shrinkToFit="0" vertical="center" wrapText="1"/>
    </xf>
    <xf borderId="2" fillId="0" fontId="21" numFmtId="10" xfId="0" applyAlignment="1" applyBorder="1" applyFont="1" applyNumberFormat="1">
      <alignment horizontal="center" shrinkToFit="0" vertical="center" wrapText="1"/>
    </xf>
    <xf borderId="3" fillId="0" fontId="3" numFmtId="3" xfId="0" applyAlignment="1" applyBorder="1" applyFont="1" applyNumberFormat="1">
      <alignment horizontal="center" shrinkToFit="0" vertical="center" wrapText="1"/>
    </xf>
    <xf borderId="2" fillId="0" fontId="21" numFmtId="3" xfId="0" applyAlignment="1" applyBorder="1" applyFont="1" applyNumberFormat="1">
      <alignment horizontal="center" shrinkToFit="0" vertical="center" wrapText="1"/>
    </xf>
    <xf borderId="7" fillId="3" fontId="12" numFmtId="3" xfId="0" applyAlignment="1" applyBorder="1" applyFont="1" applyNumberFormat="1">
      <alignment horizontal="center" shrinkToFit="0" vertical="center" wrapText="1"/>
    </xf>
    <xf borderId="9" fillId="3" fontId="12" numFmtId="3" xfId="0" applyAlignment="1" applyBorder="1" applyFont="1" applyNumberFormat="1">
      <alignment horizontal="center" shrinkToFit="0" vertical="center" wrapText="1"/>
    </xf>
    <xf borderId="10" fillId="3" fontId="12" numFmtId="3" xfId="0" applyAlignment="1" applyBorder="1" applyFont="1" applyNumberFormat="1">
      <alignment horizontal="center" shrinkToFit="0" vertical="center" wrapText="1"/>
    </xf>
    <xf borderId="11" fillId="3" fontId="12" numFmtId="3" xfId="0" applyAlignment="1" applyBorder="1" applyFont="1" applyNumberFormat="1">
      <alignment horizontal="center" shrinkToFit="0" vertical="center" wrapText="1"/>
    </xf>
    <xf borderId="13" fillId="2" fontId="12" numFmtId="3" xfId="0" applyAlignment="1" applyBorder="1" applyFont="1" applyNumberFormat="1">
      <alignment horizontal="center" shrinkToFit="0" vertical="center" wrapText="1"/>
    </xf>
    <xf borderId="14" fillId="2" fontId="12" numFmtId="3" xfId="0" applyAlignment="1" applyBorder="1" applyFont="1" applyNumberFormat="1">
      <alignment horizontal="center" shrinkToFit="0" vertical="center" wrapText="1"/>
    </xf>
    <xf borderId="15" fillId="2" fontId="12" numFmtId="3" xfId="0" applyAlignment="1" applyBorder="1" applyFont="1" applyNumberFormat="1">
      <alignment horizontal="center" shrinkToFit="0" vertical="center" wrapText="1"/>
    </xf>
    <xf borderId="16" fillId="2" fontId="12" numFmtId="3" xfId="0" applyAlignment="1" applyBorder="1" applyFont="1" applyNumberFormat="1">
      <alignment horizontal="center" shrinkToFit="0" vertical="center" wrapText="1"/>
    </xf>
    <xf borderId="15" fillId="4" fontId="12" numFmtId="3" xfId="0" applyAlignment="1" applyBorder="1" applyFont="1" applyNumberFormat="1">
      <alignment horizontal="center" shrinkToFit="0" vertical="center" wrapText="1"/>
    </xf>
    <xf borderId="16" fillId="4" fontId="12" numFmtId="3" xfId="0" applyAlignment="1" applyBorder="1" applyFont="1" applyNumberFormat="1">
      <alignment horizontal="center" shrinkToFit="0" vertical="center" wrapText="1"/>
    </xf>
    <xf borderId="25" fillId="3" fontId="12" numFmtId="3" xfId="0" applyAlignment="1" applyBorder="1" applyFont="1" applyNumberFormat="1">
      <alignment horizontal="left" shrinkToFit="0" vertical="center" wrapText="1"/>
    </xf>
    <xf borderId="28" fillId="3" fontId="12" numFmtId="3" xfId="0" applyAlignment="1" applyBorder="1" applyFont="1" applyNumberFormat="1">
      <alignment horizontal="center" shrinkToFit="0" vertical="center" wrapText="1"/>
    </xf>
    <xf borderId="2" fillId="3" fontId="12" numFmtId="3" xfId="0" applyAlignment="1" applyBorder="1" applyFont="1" applyNumberFormat="1">
      <alignment horizontal="center" shrinkToFit="0" vertical="center" wrapText="1"/>
    </xf>
    <xf borderId="2" fillId="2" fontId="12" numFmtId="3" xfId="0" applyAlignment="1" applyBorder="1" applyFont="1" applyNumberFormat="1">
      <alignment horizontal="center" shrinkToFit="0" vertical="center" wrapText="1"/>
    </xf>
    <xf borderId="29" fillId="3" fontId="12" numFmtId="3" xfId="0" applyAlignment="1" applyBorder="1" applyFont="1" applyNumberFormat="1">
      <alignment horizontal="left" shrinkToFit="0" vertical="center" wrapText="1"/>
    </xf>
    <xf borderId="32" fillId="3" fontId="12" numFmtId="3" xfId="0" applyAlignment="1" applyBorder="1" applyFont="1" applyNumberFormat="1">
      <alignment horizontal="center" shrinkToFit="0" vertical="center" wrapText="1"/>
    </xf>
    <xf borderId="127" fillId="3" fontId="12" numFmtId="3" xfId="0" applyAlignment="1" applyBorder="1" applyFont="1" applyNumberFormat="1">
      <alignment horizontal="left" shrinkToFit="0" vertical="center" wrapText="1"/>
    </xf>
    <xf borderId="43" fillId="5" fontId="1" numFmtId="3" xfId="0" applyAlignment="1" applyBorder="1" applyFont="1" applyNumberFormat="1">
      <alignment vertical="center"/>
    </xf>
    <xf borderId="78" fillId="6" fontId="22" numFmtId="3" xfId="0" applyAlignment="1" applyBorder="1" applyFont="1" applyNumberFormat="1">
      <alignment vertical="center"/>
    </xf>
    <xf borderId="47" fillId="0" fontId="1" numFmtId="3" xfId="0" applyAlignment="1" applyBorder="1" applyFont="1" applyNumberFormat="1">
      <alignment horizontal="center" shrinkToFit="0" wrapText="1"/>
    </xf>
    <xf borderId="0" fillId="0" fontId="1" numFmtId="3" xfId="0" applyAlignment="1" applyFont="1" applyNumberFormat="1">
      <alignment horizontal="center" shrinkToFit="0" vertical="center" wrapText="1"/>
    </xf>
    <xf borderId="48" fillId="0" fontId="1" numFmtId="3" xfId="0" applyAlignment="1" applyBorder="1" applyFont="1" applyNumberFormat="1">
      <alignment horizontal="center" shrinkToFit="0" wrapText="1"/>
    </xf>
    <xf borderId="0" fillId="0" fontId="1" numFmtId="3" xfId="0" applyAlignment="1" applyFont="1" applyNumberFormat="1">
      <alignment horizontal="center" shrinkToFit="0" wrapText="1"/>
    </xf>
    <xf borderId="0" fillId="0" fontId="22" numFmtId="3" xfId="0" applyAlignment="1" applyFont="1" applyNumberFormat="1">
      <alignment horizontal="center" shrinkToFit="0" vertical="center" wrapText="1"/>
    </xf>
    <xf borderId="0" fillId="0" fontId="22" numFmtId="9" xfId="0" applyAlignment="1" applyFont="1" applyNumberFormat="1">
      <alignment horizontal="center" shrinkToFit="0" vertical="center" wrapText="1"/>
    </xf>
    <xf borderId="67" fillId="6" fontId="22" numFmtId="3" xfId="0" applyAlignment="1" applyBorder="1" applyFont="1" applyNumberFormat="1">
      <alignment horizontal="center" shrinkToFit="0" vertical="center" wrapText="1"/>
    </xf>
    <xf borderId="128" fillId="0" fontId="1" numFmtId="3" xfId="0" applyAlignment="1" applyBorder="1" applyFont="1" applyNumberFormat="1">
      <alignment horizontal="center" shrinkToFit="0" wrapText="1"/>
    </xf>
    <xf borderId="49" fillId="0" fontId="22" numFmtId="3" xfId="0" applyAlignment="1" applyBorder="1" applyFont="1" applyNumberFormat="1">
      <alignment horizontal="center" shrinkToFit="0" vertical="center" wrapText="1"/>
    </xf>
    <xf borderId="49" fillId="0" fontId="22" numFmtId="9" xfId="0" applyAlignment="1" applyBorder="1" applyFont="1" applyNumberFormat="1">
      <alignment horizontal="center" shrinkToFit="0" vertical="center" wrapText="1"/>
    </xf>
    <xf borderId="51" fillId="6" fontId="22" numFmtId="3" xfId="0" applyAlignment="1" applyBorder="1" applyFont="1" applyNumberFormat="1">
      <alignment horizontal="center" shrinkToFit="0" vertical="center" wrapText="1"/>
    </xf>
    <xf borderId="52" fillId="5" fontId="1" numFmtId="3" xfId="0" applyAlignment="1" applyBorder="1" applyFont="1" applyNumberFormat="1">
      <alignment vertical="center"/>
    </xf>
    <xf borderId="53" fillId="0" fontId="1" numFmtId="3" xfId="0" applyAlignment="1" applyBorder="1" applyFont="1" applyNumberFormat="1">
      <alignment horizontal="center" shrinkToFit="0" wrapText="1"/>
    </xf>
    <xf borderId="28" fillId="5" fontId="1" numFmtId="3" xfId="0" applyAlignment="1" applyBorder="1" applyFont="1" applyNumberFormat="1">
      <alignment vertical="center"/>
    </xf>
    <xf borderId="56" fillId="5" fontId="1" numFmtId="3" xfId="0" applyAlignment="1" applyBorder="1" applyFont="1" applyNumberFormat="1">
      <alignment vertical="center"/>
    </xf>
    <xf borderId="57" fillId="5" fontId="1" numFmtId="3" xfId="0" applyAlignment="1" applyBorder="1" applyFont="1" applyNumberFormat="1">
      <alignment vertical="center"/>
    </xf>
    <xf borderId="58" fillId="6" fontId="1" numFmtId="3" xfId="0" applyAlignment="1" applyBorder="1" applyFont="1" applyNumberFormat="1">
      <alignment vertical="center"/>
    </xf>
    <xf borderId="54" fillId="6" fontId="1" numFmtId="3" xfId="0" applyAlignment="1" applyBorder="1" applyFont="1" applyNumberFormat="1">
      <alignment vertical="center"/>
    </xf>
    <xf borderId="49" fillId="6" fontId="1" numFmtId="3" xfId="0" applyAlignment="1" applyBorder="1" applyFont="1" applyNumberFormat="1">
      <alignment vertical="center"/>
    </xf>
    <xf borderId="79" fillId="6" fontId="1" numFmtId="3" xfId="0" applyAlignment="1" applyBorder="1" applyFont="1" applyNumberFormat="1">
      <alignment vertical="center"/>
    </xf>
    <xf borderId="79" fillId="6" fontId="1" numFmtId="3" xfId="0" applyAlignment="1" applyBorder="1" applyFont="1" applyNumberFormat="1">
      <alignment horizontal="right" vertical="center"/>
    </xf>
    <xf borderId="129" fillId="6" fontId="22" numFmtId="3" xfId="0" applyAlignment="1" applyBorder="1" applyFont="1" applyNumberFormat="1">
      <alignment horizontal="right" vertical="center"/>
    </xf>
    <xf borderId="60" fillId="6" fontId="1" numFmtId="3" xfId="0" applyAlignment="1" applyBorder="1" applyFont="1" applyNumberFormat="1">
      <alignment horizontal="center" vertical="center"/>
    </xf>
    <xf borderId="61" fillId="6" fontId="1" numFmtId="3" xfId="0" applyAlignment="1" applyBorder="1" applyFont="1" applyNumberFormat="1">
      <alignment vertical="center"/>
    </xf>
    <xf borderId="62" fillId="6" fontId="1" numFmtId="3" xfId="0" applyAlignment="1" applyBorder="1" applyFont="1" applyNumberFormat="1">
      <alignment vertical="center"/>
    </xf>
    <xf borderId="49" fillId="6" fontId="1" numFmtId="3" xfId="0" applyAlignment="1" applyBorder="1" applyFont="1" applyNumberFormat="1">
      <alignment horizontal="right" vertical="center"/>
    </xf>
    <xf borderId="59" fillId="6" fontId="22" numFmtId="3" xfId="0" applyAlignment="1" applyBorder="1" applyFont="1" applyNumberFormat="1">
      <alignment horizontal="right" vertical="center"/>
    </xf>
    <xf borderId="69" fillId="5" fontId="1" numFmtId="3" xfId="0" applyAlignment="1" applyBorder="1" applyFont="1" applyNumberFormat="1">
      <alignment vertical="center"/>
    </xf>
    <xf borderId="70" fillId="7" fontId="12" numFmtId="3" xfId="0" applyAlignment="1" applyBorder="1" applyFont="1" applyNumberFormat="1">
      <alignment horizontal="left" shrinkToFit="0" vertical="center" wrapText="1"/>
    </xf>
    <xf borderId="19" fillId="5" fontId="1" numFmtId="3" xfId="0" applyAlignment="1" applyBorder="1" applyFont="1" applyNumberFormat="1">
      <alignment vertical="center"/>
    </xf>
    <xf borderId="54" fillId="0" fontId="22" numFmtId="3" xfId="0" applyAlignment="1" applyBorder="1" applyFont="1" applyNumberFormat="1">
      <alignment horizontal="center" shrinkToFit="0" vertical="center" wrapText="1"/>
    </xf>
    <xf borderId="79" fillId="0" fontId="22" numFmtId="3" xfId="0" applyAlignment="1" applyBorder="1" applyFont="1" applyNumberFormat="1">
      <alignment horizontal="center" shrinkToFit="0" vertical="center" wrapText="1"/>
    </xf>
    <xf borderId="80" fillId="5" fontId="1" numFmtId="3" xfId="0" applyAlignment="1" applyBorder="1" applyFont="1" applyNumberFormat="1">
      <alignment vertical="center"/>
    </xf>
    <xf borderId="81" fillId="7" fontId="12" numFmtId="3" xfId="0" applyAlignment="1" applyBorder="1" applyFont="1" applyNumberFormat="1">
      <alignment horizontal="left" shrinkToFit="0" vertical="center" wrapText="1"/>
    </xf>
    <xf borderId="88" fillId="0" fontId="1" numFmtId="3" xfId="0" applyAlignment="1" applyBorder="1" applyFont="1" applyNumberFormat="1">
      <alignment horizontal="center" shrinkToFit="0" wrapText="1"/>
    </xf>
    <xf borderId="89" fillId="0" fontId="1" numFmtId="3" xfId="0" applyAlignment="1" applyBorder="1" applyFont="1" applyNumberFormat="1">
      <alignment horizontal="center" shrinkToFit="0" wrapText="1"/>
    </xf>
    <xf borderId="54" fillId="0" fontId="1" numFmtId="3" xfId="0" applyAlignment="1" applyBorder="1" applyFont="1" applyNumberFormat="1">
      <alignment horizontal="center" shrinkToFit="0" vertical="center" wrapText="1"/>
    </xf>
    <xf borderId="54" fillId="0" fontId="23" numFmtId="3" xfId="0" applyBorder="1" applyFont="1" applyNumberFormat="1"/>
    <xf borderId="90" fillId="6" fontId="1" numFmtId="3" xfId="0" applyAlignment="1" applyBorder="1" applyFont="1" applyNumberFormat="1">
      <alignment horizontal="center" vertical="center"/>
    </xf>
    <xf borderId="93" fillId="5" fontId="1" numFmtId="3" xfId="0" applyAlignment="1" applyBorder="1" applyFont="1" applyNumberFormat="1">
      <alignment horizontal="center" vertical="center"/>
    </xf>
    <xf borderId="44" fillId="6" fontId="22" numFmtId="3" xfId="0" applyAlignment="1" applyBorder="1" applyFont="1" applyNumberFormat="1">
      <alignment vertical="center"/>
    </xf>
    <xf borderId="77" fillId="7" fontId="12" numFmtId="3" xfId="0" applyAlignment="1" applyBorder="1" applyFont="1" applyNumberFormat="1">
      <alignment horizontal="left" shrinkToFit="0" vertical="center" wrapText="1"/>
    </xf>
    <xf borderId="95" fillId="6" fontId="22" numFmtId="3" xfId="0" applyAlignment="1" applyBorder="1" applyFont="1" applyNumberFormat="1">
      <alignment vertical="center"/>
    </xf>
    <xf borderId="62" fillId="0" fontId="22" numFmtId="3" xfId="0" applyAlignment="1" applyBorder="1" applyFont="1" applyNumberFormat="1">
      <alignment horizontal="center" shrinkToFit="0" vertical="center" wrapText="1"/>
    </xf>
    <xf borderId="98" fillId="0" fontId="22" numFmtId="3" xfId="0" applyAlignment="1" applyBorder="1" applyFont="1" applyNumberFormat="1">
      <alignment horizontal="center" shrinkToFit="0" vertical="center" wrapText="1"/>
    </xf>
    <xf borderId="99" fillId="0" fontId="22" numFmtId="3" xfId="0" applyAlignment="1" applyBorder="1" applyFont="1" applyNumberFormat="1">
      <alignment horizontal="center" shrinkToFit="0" vertical="center" wrapText="1"/>
    </xf>
    <xf borderId="101" fillId="6" fontId="22" numFmtId="3" xfId="0" applyAlignment="1" applyBorder="1" applyFont="1" applyNumberFormat="1">
      <alignment vertical="center"/>
    </xf>
    <xf borderId="102" fillId="6" fontId="22" numFmtId="3" xfId="0" applyAlignment="1" applyBorder="1" applyFont="1" applyNumberFormat="1">
      <alignment vertical="center"/>
    </xf>
    <xf borderId="104" fillId="6" fontId="22" numFmtId="3" xfId="0" applyAlignment="1" applyBorder="1" applyFont="1" applyNumberFormat="1">
      <alignment vertical="center"/>
    </xf>
    <xf borderId="105" fillId="7" fontId="12" numFmtId="3" xfId="0" applyAlignment="1" applyBorder="1" applyFont="1" applyNumberFormat="1">
      <alignment horizontal="left" shrinkToFit="0" vertical="center" wrapText="1"/>
    </xf>
    <xf borderId="108" fillId="0" fontId="22" numFmtId="3" xfId="0" applyAlignment="1" applyBorder="1" applyFont="1" applyNumberFormat="1">
      <alignment horizontal="center" shrinkToFit="0" vertical="center" wrapText="1"/>
    </xf>
    <xf borderId="109" fillId="0" fontId="22" numFmtId="3" xfId="0" applyAlignment="1" applyBorder="1" applyFont="1" applyNumberFormat="1">
      <alignment horizontal="center" shrinkToFit="0" vertical="center" wrapText="1"/>
    </xf>
    <xf borderId="93" fillId="3" fontId="12" numFmtId="3" xfId="0" applyAlignment="1" applyBorder="1" applyFont="1" applyNumberFormat="1">
      <alignment horizontal="center" shrinkToFit="0" vertical="center" wrapText="1"/>
    </xf>
    <xf borderId="115" fillId="6" fontId="22" numFmtId="3" xfId="0" applyAlignment="1" applyBorder="1" applyFont="1" applyNumberFormat="1">
      <alignment vertical="center"/>
    </xf>
    <xf borderId="117" fillId="0" fontId="22" numFmtId="3" xfId="0" applyAlignment="1" applyBorder="1" applyFont="1" applyNumberFormat="1">
      <alignment horizontal="center" shrinkToFit="0" vertical="center" wrapText="1"/>
    </xf>
    <xf borderId="118" fillId="0" fontId="22" numFmtId="3" xfId="0" applyAlignment="1" applyBorder="1" applyFont="1" applyNumberFormat="1">
      <alignment horizontal="center" shrinkToFit="0" vertical="center" wrapText="1"/>
    </xf>
    <xf borderId="119" fillId="0" fontId="22" numFmtId="3" xfId="0" applyAlignment="1" applyBorder="1" applyFont="1" applyNumberFormat="1">
      <alignment horizontal="center" shrinkToFit="0" vertical="center" wrapText="1"/>
    </xf>
    <xf borderId="120" fillId="0" fontId="22" numFmtId="3" xfId="0" applyAlignment="1" applyBorder="1" applyFont="1" applyNumberFormat="1">
      <alignment horizontal="center" shrinkToFit="0" vertical="center" wrapText="1"/>
    </xf>
    <xf borderId="121" fillId="5" fontId="1" numFmtId="3" xfId="0" applyAlignment="1" applyBorder="1" applyFont="1" applyNumberFormat="1">
      <alignment vertical="center"/>
    </xf>
    <xf borderId="0" fillId="5" fontId="1" numFmtId="3" xfId="0" applyAlignment="1" applyFont="1" applyNumberFormat="1">
      <alignment vertical="center"/>
    </xf>
    <xf borderId="100" fillId="7" fontId="12" numFmtId="3" xfId="0" applyAlignment="1" applyBorder="1" applyFont="1" applyNumberFormat="1">
      <alignment horizontal="left" shrinkToFit="0" vertical="center" wrapText="1"/>
    </xf>
    <xf borderId="78" fillId="5" fontId="1" numFmtId="3" xfId="0" applyAlignment="1" applyBorder="1" applyFont="1" applyNumberFormat="1">
      <alignment vertical="center"/>
    </xf>
    <xf borderId="28" fillId="0" fontId="1" numFmtId="3" xfId="0" applyAlignment="1" applyBorder="1" applyFont="1" applyNumberFormat="1">
      <alignment vertical="center"/>
    </xf>
    <xf borderId="80" fillId="5" fontId="1" numFmtId="3" xfId="0" applyAlignment="1" applyBorder="1" applyFont="1" applyNumberFormat="1">
      <alignment horizontal="center" vertical="center"/>
    </xf>
    <xf borderId="27" fillId="0" fontId="1" numFmtId="3" xfId="0" applyAlignment="1" applyBorder="1" applyFont="1" applyNumberFormat="1">
      <alignment vertical="center"/>
    </xf>
    <xf borderId="52" fillId="0" fontId="1" numFmtId="3" xfId="0" applyAlignment="1" applyBorder="1" applyFont="1" applyNumberFormat="1">
      <alignment horizontal="center" vertical="center"/>
    </xf>
    <xf borderId="28" fillId="5" fontId="22" numFmtId="3" xfId="0" applyAlignment="1" applyBorder="1" applyFont="1" applyNumberFormat="1">
      <alignment horizontal="right" shrinkToFit="0" vertical="center" wrapText="1"/>
    </xf>
    <xf borderId="28" fillId="5" fontId="1" numFmtId="0" xfId="0" applyAlignment="1" applyBorder="1" applyFont="1">
      <alignment vertical="center"/>
    </xf>
    <xf borderId="80" fillId="5" fontId="22" numFmtId="3" xfId="0" applyAlignment="1" applyBorder="1" applyFont="1" applyNumberFormat="1">
      <alignment horizontal="right" vertical="center"/>
    </xf>
    <xf borderId="69" fillId="6" fontId="22" numFmtId="3" xfId="0" applyAlignment="1" applyBorder="1" applyFont="1" applyNumberFormat="1">
      <alignment horizontal="center" shrinkToFit="0" vertical="center" wrapText="1"/>
    </xf>
    <xf borderId="27" fillId="5" fontId="22" numFmtId="3" xfId="0" applyAlignment="1" applyBorder="1" applyFont="1" applyNumberFormat="1">
      <alignment horizontal="right" shrinkToFit="0" vertical="center" wrapText="1"/>
    </xf>
    <xf borderId="80" fillId="6" fontId="22" numFmtId="3" xfId="0" applyAlignment="1" applyBorder="1" applyFont="1" applyNumberFormat="1">
      <alignment horizontal="center" shrinkToFit="0" vertical="center" wrapText="1"/>
    </xf>
    <xf borderId="63" fillId="5" fontId="22" numFmtId="3" xfId="0" applyAlignment="1" applyBorder="1" applyFont="1" applyNumberFormat="1">
      <alignment horizontal="right" vertical="center"/>
    </xf>
    <xf borderId="63" fillId="5" fontId="22" numFmtId="3" xfId="0" applyAlignment="1" applyBorder="1" applyFont="1" applyNumberFormat="1">
      <alignment horizontal="right" shrinkToFit="0" vertical="center" wrapText="1"/>
    </xf>
    <xf borderId="92" fillId="6" fontId="22" numFmtId="9" xfId="0" applyAlignment="1" applyBorder="1" applyFont="1" applyNumberFormat="1">
      <alignment horizontal="center" shrinkToFit="0" vertical="center" wrapText="1"/>
    </xf>
    <xf borderId="92" fillId="6" fontId="22" numFmtId="3" xfId="0" applyAlignment="1" applyBorder="1" applyFont="1" applyNumberFormat="1">
      <alignment horizontal="center" shrinkToFit="0" vertical="center" wrapText="1"/>
    </xf>
    <xf borderId="46" fillId="5" fontId="22" numFmtId="3" xfId="0" applyAlignment="1" applyBorder="1" applyFont="1" applyNumberFormat="1">
      <alignment horizontal="right" shrinkToFit="0" vertical="center" wrapText="1"/>
    </xf>
    <xf borderId="41" fillId="3" fontId="12" numFmtId="3" xfId="0" applyAlignment="1" applyBorder="1" applyFont="1" applyNumberFormat="1">
      <alignment horizontal="right" shrinkToFit="0" vertical="center" wrapText="1"/>
    </xf>
    <xf borderId="42" fillId="3" fontId="12" numFmtId="3" xfId="0" applyAlignment="1" applyBorder="1" applyFont="1" applyNumberFormat="1">
      <alignment horizontal="right" vertical="center"/>
    </xf>
    <xf borderId="123" fillId="3" fontId="20" numFmtId="3" xfId="0" applyAlignment="1" applyBorder="1" applyFont="1" applyNumberFormat="1">
      <alignment horizontal="center" shrinkToFit="0" vertical="center" wrapText="1"/>
    </xf>
    <xf borderId="40" fillId="3" fontId="12" numFmtId="3" xfId="0" applyAlignment="1" applyBorder="1" applyFont="1" applyNumberFormat="1">
      <alignment horizontal="right" shrinkToFit="0" vertical="center" wrapText="1"/>
    </xf>
    <xf borderId="121" fillId="5" fontId="22" numFmtId="3" xfId="0" applyAlignment="1" applyBorder="1" applyFont="1" applyNumberFormat="1">
      <alignment horizontal="right" shrinkToFit="0" vertical="center" wrapText="1"/>
    </xf>
    <xf borderId="121" fillId="5" fontId="22" numFmtId="3" xfId="0" applyAlignment="1" applyBorder="1" applyFont="1" applyNumberFormat="1">
      <alignment horizontal="right" vertical="center"/>
    </xf>
    <xf borderId="69" fillId="6" fontId="22" numFmtId="9" xfId="0" applyAlignment="1" applyBorder="1" applyFont="1" applyNumberFormat="1">
      <alignment horizontal="center" shrinkToFit="0" vertical="center" wrapText="1"/>
    </xf>
    <xf borderId="97" fillId="5" fontId="22" numFmtId="3" xfId="0" applyAlignment="1" applyBorder="1" applyFont="1" applyNumberFormat="1">
      <alignment horizontal="right" shrinkToFit="0" vertical="center" wrapText="1"/>
    </xf>
    <xf borderId="90" fillId="5" fontId="22" numFmtId="3" xfId="0" applyAlignment="1" applyBorder="1" applyFont="1" applyNumberFormat="1">
      <alignment horizontal="right" vertical="center"/>
    </xf>
    <xf borderId="42" fillId="3" fontId="20" numFmtId="3" xfId="0" applyAlignment="1" applyBorder="1" applyFont="1" applyNumberFormat="1">
      <alignment horizontal="right" vertical="center"/>
    </xf>
    <xf borderId="66" fillId="5" fontId="22" numFmtId="3" xfId="0" applyAlignment="1" applyBorder="1" applyFont="1" applyNumberFormat="1">
      <alignment horizontal="right" shrinkToFit="0" vertical="center" wrapText="1"/>
    </xf>
    <xf borderId="66" fillId="5" fontId="22" numFmtId="3" xfId="0" applyAlignment="1" applyBorder="1" applyFont="1" applyNumberFormat="1">
      <alignment horizontal="right" vertical="center"/>
    </xf>
    <xf borderId="69" fillId="6" fontId="22" numFmtId="9" xfId="0" applyAlignment="1" applyBorder="1" applyFont="1" applyNumberFormat="1">
      <alignment horizontal="center" readingOrder="0" shrinkToFit="0" vertical="center" wrapText="1"/>
    </xf>
    <xf borderId="65" fillId="5" fontId="22" numFmtId="3" xfId="0" applyAlignment="1" applyBorder="1" applyFont="1" applyNumberFormat="1">
      <alignment horizontal="right" shrinkToFit="0" vertical="center" wrapText="1"/>
    </xf>
    <xf borderId="123" fillId="3" fontId="2" numFmtId="3" xfId="0" applyAlignment="1" applyBorder="1" applyFont="1" applyNumberFormat="1">
      <alignment horizontal="center" shrinkToFit="0" vertical="center" wrapText="1"/>
    </xf>
    <xf borderId="124" fillId="5" fontId="22" numFmtId="3" xfId="0" applyAlignment="1" applyBorder="1" applyFont="1" applyNumberFormat="1">
      <alignment horizontal="right" vertical="center"/>
    </xf>
    <xf borderId="0" fillId="0" fontId="24" numFmtId="3" xfId="0" applyAlignment="1" applyFont="1" applyNumberFormat="1">
      <alignment horizontal="left" shrinkToFit="0" vertical="top" wrapText="1"/>
    </xf>
    <xf borderId="0" fillId="2" fontId="20" numFmtId="3" xfId="0" applyAlignment="1" applyFont="1" applyNumberFormat="1">
      <alignment horizontal="center" shrinkToFit="0" vertical="center" wrapText="1"/>
    </xf>
    <xf borderId="80" fillId="2" fontId="20" numFmtId="3" xfId="0" applyAlignment="1" applyBorder="1" applyFont="1" applyNumberFormat="1">
      <alignment horizontal="center" shrinkToFit="0" vertical="center" wrapText="1"/>
    </xf>
    <xf borderId="0" fillId="4" fontId="20" numFmtId="3" xfId="0" applyAlignment="1" applyFont="1" applyNumberFormat="1">
      <alignment horizontal="center" shrinkToFit="0" vertical="center" wrapText="1"/>
    </xf>
    <xf borderId="80" fillId="4" fontId="20" numFmtId="3" xfId="0" applyAlignment="1" applyBorder="1" applyFont="1" applyNumberFormat="1">
      <alignment horizontal="center" shrinkToFit="0" vertical="center" wrapText="1"/>
    </xf>
    <xf borderId="80" fillId="2" fontId="20" numFmtId="9" xfId="0" applyAlignment="1" applyBorder="1" applyFont="1" applyNumberFormat="1">
      <alignment horizontal="center" shrinkToFit="0" vertical="center" wrapText="1"/>
    </xf>
    <xf borderId="80" fillId="4" fontId="20" numFmtId="10" xfId="0" applyAlignment="1" applyBorder="1" applyFont="1" applyNumberFormat="1">
      <alignment horizontal="center" shrinkToFit="0" vertical="center" wrapText="1"/>
    </xf>
    <xf borderId="92" fillId="2" fontId="20" numFmtId="9" xfId="0" applyAlignment="1" applyBorder="1" applyFont="1" applyNumberFormat="1">
      <alignment horizontal="center" shrinkToFit="0" vertical="center" wrapText="1"/>
    </xf>
    <xf borderId="92" fillId="4" fontId="20" numFmtId="9" xfId="0" applyAlignment="1" applyBorder="1" applyFont="1" applyNumberFormat="1">
      <alignment horizontal="center" shrinkToFit="0" vertical="center" wrapText="1"/>
    </xf>
    <xf borderId="93" fillId="5" fontId="1" numFmtId="3" xfId="0" applyAlignment="1" applyBorder="1" applyFont="1" applyNumberFormat="1">
      <alignment vertical="center"/>
    </xf>
    <xf borderId="67" fillId="5" fontId="1" numFmtId="3" xfId="0" applyAlignment="1" applyBorder="1" applyFont="1" applyNumberFormat="1">
      <alignment vertical="center"/>
    </xf>
    <xf borderId="117" fillId="0" fontId="24" numFmtId="3" xfId="0" applyAlignment="1" applyBorder="1" applyFont="1" applyNumberFormat="1">
      <alignment horizontal="left" shrinkToFit="0" vertical="top" wrapText="1"/>
    </xf>
    <xf borderId="55" fillId="0" fontId="24" numFmtId="3" xfId="0" applyAlignment="1" applyBorder="1" applyFont="1" applyNumberFormat="1">
      <alignment horizontal="left" shrinkToFit="0" vertical="top" wrapText="1"/>
    </xf>
    <xf borderId="54" fillId="0" fontId="24" numFmtId="3" xfId="0" applyAlignment="1" applyBorder="1" applyFont="1" applyNumberFormat="1">
      <alignment horizontal="left" shrinkToFit="0" vertical="top" wrapText="1"/>
    </xf>
    <xf borderId="38" fillId="8" fontId="25" numFmtId="0" xfId="0" applyAlignment="1" applyBorder="1" applyFill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41" fillId="0" fontId="27" numFmtId="0" xfId="0" applyAlignment="1" applyBorder="1" applyFont="1">
      <alignment shrinkToFit="0" vertical="center" wrapText="1"/>
    </xf>
    <xf borderId="41" fillId="0" fontId="26" numFmtId="0" xfId="0" applyAlignment="1" applyBorder="1" applyFont="1">
      <alignment shrinkToFit="0" vertical="center" wrapText="1"/>
    </xf>
    <xf borderId="41" fillId="2" fontId="28" numFmtId="0" xfId="0" applyAlignment="1" applyBorder="1" applyFont="1">
      <alignment shrinkToFit="0" vertical="center" wrapText="1"/>
    </xf>
    <xf borderId="41" fillId="0" fontId="26" numFmtId="4" xfId="0" applyAlignment="1" applyBorder="1" applyFont="1" applyNumberFormat="1">
      <alignment shrinkToFit="0" vertical="center" wrapText="1"/>
    </xf>
    <xf borderId="41" fillId="4" fontId="26" numFmtId="0" xfId="0" applyAlignment="1" applyBorder="1" applyFont="1">
      <alignment shrinkToFit="0" vertical="center" wrapText="1"/>
    </xf>
    <xf borderId="41" fillId="0" fontId="26" numFmtId="10" xfId="0" applyAlignment="1" applyBorder="1" applyFont="1" applyNumberFormat="1">
      <alignment shrinkToFit="0" vertical="center" wrapText="1"/>
    </xf>
    <xf borderId="41" fillId="0" fontId="26" numFmtId="165" xfId="0" applyAlignment="1" applyBorder="1" applyFont="1" applyNumberFormat="1">
      <alignment shrinkToFit="0" vertical="center" wrapText="1"/>
    </xf>
    <xf borderId="41" fillId="0" fontId="29" numFmtId="0" xfId="0" applyAlignment="1" applyBorder="1" applyFont="1">
      <alignment shrinkToFit="0" vertical="center" wrapText="1"/>
    </xf>
    <xf borderId="41" fillId="0" fontId="30" numFmtId="0" xfId="0" applyAlignment="1" applyBorder="1" applyFont="1">
      <alignment shrinkToFit="0" vertical="center" wrapText="1"/>
    </xf>
    <xf borderId="41" fillId="0" fontId="26" numFmtId="0" xfId="0" applyAlignment="1" applyBorder="1" applyFont="1">
      <alignment shrinkToFit="0" wrapText="1"/>
    </xf>
    <xf borderId="41" fillId="0" fontId="31" numFmtId="165" xfId="0" applyBorder="1" applyFont="1" applyNumberFormat="1"/>
    <xf borderId="41" fillId="0" fontId="26" numFmtId="165" xfId="0" applyAlignment="1" applyBorder="1" applyFont="1" applyNumberFormat="1">
      <alignment horizontal="right" shrinkToFit="0" vertical="center" wrapText="1"/>
    </xf>
    <xf borderId="41" fillId="0" fontId="26" numFmtId="166" xfId="0" applyAlignment="1" applyBorder="1" applyFont="1" applyNumberFormat="1">
      <alignment shrinkToFit="0" wrapText="1"/>
    </xf>
    <xf borderId="41" fillId="0" fontId="31" numFmtId="0" xfId="0" applyBorder="1" applyFont="1"/>
    <xf borderId="41" fillId="0" fontId="26" numFmtId="0" xfId="0" applyAlignment="1" applyBorder="1" applyFont="1">
      <alignment horizontal="right" shrinkToFit="0" wrapText="1"/>
    </xf>
    <xf borderId="0" fillId="2" fontId="12" numFmtId="3" xfId="0" applyAlignment="1" applyFont="1" applyNumberForma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0" fontId="22" numFmtId="0" xfId="0" applyFont="1"/>
    <xf borderId="0" fillId="0" fontId="32" numFmtId="0" xfId="0" applyFont="1"/>
    <xf borderId="0" fillId="2" fontId="12" numFmtId="0" xfId="0" applyAlignment="1" applyFont="1">
      <alignment horizontal="center"/>
    </xf>
    <xf borderId="0" fillId="3" fontId="12" numFmtId="3" xfId="0" applyAlignment="1" applyFont="1" applyNumberFormat="1">
      <alignment horizontal="center" shrinkToFit="0" vertical="center" wrapText="1"/>
    </xf>
    <xf borderId="0" fillId="3" fontId="12" numFmtId="0" xfId="0" applyAlignment="1" applyFont="1">
      <alignment horizontal="center" vertical="center"/>
    </xf>
    <xf borderId="0" fillId="3" fontId="12" numFmtId="0" xfId="0" applyAlignment="1" applyFont="1">
      <alignment horizontal="center" shrinkToFit="0" vertical="center" wrapText="1"/>
    </xf>
    <xf borderId="0" fillId="6" fontId="22" numFmtId="3" xfId="0" applyAlignment="1" applyFont="1" applyNumberFormat="1">
      <alignment horizontal="left" vertical="center"/>
    </xf>
    <xf borderId="0" fillId="5" fontId="22" numFmtId="0" xfId="0" applyAlignment="1" applyFont="1">
      <alignment horizontal="center" shrinkToFit="0" vertical="bottom" wrapText="0"/>
    </xf>
    <xf borderId="0" fillId="6" fontId="22" numFmtId="3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76200</xdr:rowOff>
    </xdr:from>
    <xdr:ext cx="657225" cy="1905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61925" cy="38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 outlineLevelCol="1"/>
  <cols>
    <col customWidth="1" min="1" max="1" width="2.43"/>
    <col customWidth="1" min="2" max="3" width="12.57"/>
    <col customWidth="1" min="4" max="4" width="9.14"/>
    <col customWidth="1" min="5" max="5" width="5.43"/>
    <col customWidth="1" min="6" max="6" width="9.29"/>
    <col customWidth="1" min="7" max="7" width="5.86"/>
    <col customWidth="1" min="8" max="8" width="11.14"/>
    <col customWidth="1" min="9" max="9" width="5.86"/>
    <col customWidth="1" min="10" max="11" width="11.14"/>
    <col customWidth="1" min="12" max="12" width="10.29"/>
    <col customWidth="1" min="13" max="13" width="11.14"/>
    <col customWidth="1" min="14" max="14" width="12.43"/>
    <col customWidth="1" min="15" max="15" width="7.14"/>
    <col customWidth="1" min="16" max="16" width="6.14"/>
    <col customWidth="1" min="17" max="17" width="7.14"/>
    <col customWidth="1" min="18" max="18" width="5.43"/>
    <col customWidth="1" min="19" max="19" width="11.14"/>
    <col customWidth="1" min="20" max="20" width="5.43"/>
    <col customWidth="1" min="21" max="21" width="11.14"/>
    <col customWidth="1" min="22" max="22" width="11.0"/>
    <col customWidth="1" min="23" max="23" width="10.71"/>
    <col customWidth="1" min="24" max="24" width="11.14"/>
    <col customWidth="1" min="25" max="27" width="11.14" outlineLevel="1"/>
  </cols>
  <sheetData>
    <row r="1">
      <c r="A1" s="1"/>
      <c r="B1" s="2"/>
      <c r="C1" s="3"/>
      <c r="D1" s="3"/>
      <c r="E1" s="3"/>
      <c r="F1" s="3"/>
      <c r="G1" s="3"/>
      <c r="H1" s="3"/>
      <c r="I1" s="3"/>
      <c r="J1" s="4"/>
      <c r="K1" s="5" t="s">
        <v>0</v>
      </c>
      <c r="L1" s="6"/>
      <c r="M1" s="7">
        <f>M279</f>
        <v>2582186.231</v>
      </c>
      <c r="N1" s="8"/>
      <c r="O1" s="9" t="s">
        <v>1</v>
      </c>
      <c r="P1" s="10" t="s">
        <v>2</v>
      </c>
      <c r="Q1" s="10"/>
      <c r="R1" s="11">
        <v>0.2</v>
      </c>
      <c r="S1" s="12" t="s">
        <v>3</v>
      </c>
      <c r="T1" s="13">
        <f>X284</f>
        <v>0.148531981</v>
      </c>
      <c r="U1" s="12" t="s">
        <v>4</v>
      </c>
      <c r="V1" s="14">
        <f>X276</f>
        <v>2103970.33</v>
      </c>
      <c r="W1" s="15"/>
      <c r="X1" s="16" t="s">
        <v>5</v>
      </c>
      <c r="Y1" s="17">
        <f>AA284</f>
        <v>0.9633339131</v>
      </c>
      <c r="Z1" s="18" t="s">
        <v>6</v>
      </c>
      <c r="AA1" s="19">
        <f>AA279</f>
        <v>94678.66484</v>
      </c>
    </row>
    <row r="2" ht="10.5" customHeight="1">
      <c r="A2" s="20"/>
      <c r="B2" s="21"/>
      <c r="C2" s="22" t="s">
        <v>7</v>
      </c>
      <c r="D2" s="21"/>
      <c r="E2" s="23" t="s">
        <v>8</v>
      </c>
      <c r="F2" s="23" t="s">
        <v>9</v>
      </c>
      <c r="G2" s="23" t="s">
        <v>10</v>
      </c>
      <c r="H2" s="23" t="s">
        <v>11</v>
      </c>
      <c r="I2" s="22" t="s">
        <v>12</v>
      </c>
      <c r="J2" s="21"/>
      <c r="K2" s="23" t="s">
        <v>13</v>
      </c>
      <c r="L2" s="23" t="s">
        <v>14</v>
      </c>
      <c r="M2" s="24" t="s">
        <v>15</v>
      </c>
      <c r="N2" s="22" t="s">
        <v>16</v>
      </c>
      <c r="O2" s="25"/>
      <c r="P2" s="26" t="s">
        <v>8</v>
      </c>
      <c r="Q2" s="27" t="s">
        <v>9</v>
      </c>
      <c r="R2" s="28" t="s">
        <v>10</v>
      </c>
      <c r="S2" s="28" t="s">
        <v>11</v>
      </c>
      <c r="T2" s="29" t="s">
        <v>12</v>
      </c>
      <c r="U2" s="30"/>
      <c r="V2" s="28" t="s">
        <v>17</v>
      </c>
      <c r="W2" s="28" t="s">
        <v>18</v>
      </c>
      <c r="X2" s="29" t="s">
        <v>19</v>
      </c>
      <c r="Y2" s="31" t="s">
        <v>20</v>
      </c>
      <c r="Z2" s="31" t="s">
        <v>21</v>
      </c>
      <c r="AA2" s="32" t="s">
        <v>22</v>
      </c>
    </row>
    <row r="3" ht="18.75" customHeight="1">
      <c r="A3" s="33"/>
      <c r="B3" s="34"/>
      <c r="C3" s="35"/>
      <c r="D3" s="36"/>
      <c r="E3" s="37"/>
      <c r="F3" s="37"/>
      <c r="G3" s="37"/>
      <c r="H3" s="37"/>
      <c r="I3" s="35"/>
      <c r="J3" s="36"/>
      <c r="K3" s="37"/>
      <c r="L3" s="37"/>
      <c r="M3" s="38"/>
      <c r="N3" s="39"/>
      <c r="O3" s="25"/>
      <c r="P3" s="34"/>
      <c r="Q3" s="40"/>
      <c r="R3" s="37"/>
      <c r="S3" s="37"/>
      <c r="T3" s="35"/>
      <c r="U3" s="36"/>
      <c r="V3" s="37"/>
      <c r="W3" s="37"/>
      <c r="X3" s="39"/>
      <c r="Y3" s="37"/>
      <c r="Z3" s="37"/>
      <c r="AA3" s="39"/>
    </row>
    <row r="4" ht="19.5" customHeight="1">
      <c r="A4" s="41" t="s">
        <v>23</v>
      </c>
      <c r="B4" s="42"/>
      <c r="C4" s="43"/>
      <c r="D4" s="44">
        <v>1.0</v>
      </c>
      <c r="E4" s="37"/>
      <c r="F4" s="37"/>
      <c r="G4" s="37"/>
      <c r="H4" s="37"/>
      <c r="I4" s="45" t="s">
        <v>24</v>
      </c>
      <c r="J4" s="45" t="s">
        <v>25</v>
      </c>
      <c r="K4" s="37"/>
      <c r="L4" s="37"/>
      <c r="M4" s="38"/>
      <c r="N4" s="39"/>
      <c r="O4" s="25"/>
      <c r="P4" s="34"/>
      <c r="Q4" s="40"/>
      <c r="R4" s="37"/>
      <c r="S4" s="37"/>
      <c r="T4" s="46" t="s">
        <v>24</v>
      </c>
      <c r="U4" s="46" t="s">
        <v>25</v>
      </c>
      <c r="V4" s="37"/>
      <c r="W4" s="37"/>
      <c r="X4" s="39"/>
      <c r="Y4" s="37"/>
      <c r="Z4" s="37"/>
      <c r="AA4" s="39"/>
    </row>
    <row r="5">
      <c r="A5" s="47" t="s">
        <v>26</v>
      </c>
      <c r="B5" s="48"/>
      <c r="C5" s="49"/>
      <c r="D5" s="50">
        <v>12.0</v>
      </c>
      <c r="E5" s="51"/>
      <c r="F5" s="51"/>
      <c r="G5" s="51"/>
      <c r="H5" s="51"/>
      <c r="I5" s="51"/>
      <c r="J5" s="51"/>
      <c r="K5" s="51"/>
      <c r="L5" s="51"/>
      <c r="M5" s="52"/>
      <c r="N5" s="53"/>
      <c r="O5" s="25"/>
      <c r="P5" s="54"/>
      <c r="Q5" s="55"/>
      <c r="R5" s="51"/>
      <c r="S5" s="51"/>
      <c r="T5" s="51"/>
      <c r="U5" s="51"/>
      <c r="V5" s="51"/>
      <c r="W5" s="51"/>
      <c r="X5" s="53"/>
      <c r="Y5" s="51"/>
      <c r="Z5" s="51"/>
      <c r="AA5" s="53"/>
    </row>
    <row r="6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  <c r="N6" s="59"/>
      <c r="O6" s="60"/>
      <c r="P6" s="56"/>
      <c r="Q6" s="56"/>
      <c r="R6" s="57"/>
      <c r="S6" s="57"/>
      <c r="T6" s="57"/>
      <c r="U6" s="57"/>
      <c r="V6" s="57"/>
      <c r="W6" s="57"/>
      <c r="X6" s="58"/>
      <c r="Y6" s="58"/>
      <c r="Z6" s="59"/>
      <c r="AA6" s="59"/>
    </row>
    <row r="7">
      <c r="A7" s="61" t="s">
        <v>27</v>
      </c>
      <c r="B7" s="62"/>
      <c r="C7" s="62"/>
      <c r="D7" s="63"/>
      <c r="E7" s="64"/>
      <c r="F7" s="64"/>
      <c r="G7" s="64"/>
      <c r="H7" s="64"/>
      <c r="I7" s="64"/>
      <c r="J7" s="64"/>
      <c r="K7" s="64"/>
      <c r="L7" s="64"/>
      <c r="M7" s="65"/>
      <c r="N7" s="66"/>
      <c r="O7" s="60"/>
      <c r="P7" s="67"/>
      <c r="Q7" s="67"/>
      <c r="R7" s="64"/>
      <c r="S7" s="64"/>
      <c r="T7" s="64"/>
      <c r="U7" s="64"/>
      <c r="V7" s="64"/>
      <c r="W7" s="64"/>
      <c r="X7" s="65"/>
      <c r="Y7" s="65"/>
      <c r="Z7" s="65"/>
      <c r="AA7" s="65"/>
    </row>
    <row r="8">
      <c r="A8" s="68"/>
      <c r="B8" s="69" t="s">
        <v>28</v>
      </c>
      <c r="C8" s="70"/>
      <c r="D8" s="71"/>
      <c r="E8" s="72">
        <v>1.0</v>
      </c>
      <c r="F8" s="73" t="s">
        <v>29</v>
      </c>
      <c r="G8" s="74">
        <v>1.0</v>
      </c>
      <c r="H8" s="74"/>
      <c r="I8" s="74"/>
      <c r="J8" s="74"/>
      <c r="K8" s="75">
        <f t="shared" ref="K8:K17" si="1">(E8*G8*H8)+(I8*J8*E8*G8)</f>
        <v>0</v>
      </c>
      <c r="L8" s="76">
        <v>0.09</v>
      </c>
      <c r="M8" s="77">
        <f t="shared" ref="M8:M17" si="2">K8/(1-L8)</f>
        <v>0</v>
      </c>
      <c r="N8" s="78"/>
      <c r="O8" s="60"/>
      <c r="P8" s="74">
        <v>1.0</v>
      </c>
      <c r="Q8" s="73" t="s">
        <v>29</v>
      </c>
      <c r="R8" s="74">
        <v>1.0</v>
      </c>
      <c r="S8" s="74"/>
      <c r="T8" s="74"/>
      <c r="U8" s="74"/>
      <c r="V8" s="75">
        <f t="shared" ref="V8:V17" si="3">(P8*R8*S8)+(T8*U8*P8*R8)</f>
        <v>0</v>
      </c>
      <c r="W8" s="76">
        <v>0.09</v>
      </c>
      <c r="X8" s="79">
        <f t="shared" ref="X8:X17" si="4">V8/(1-W8)</f>
        <v>0</v>
      </c>
      <c r="Y8" s="75">
        <v>0.0</v>
      </c>
      <c r="Z8" s="76">
        <v>0.09</v>
      </c>
      <c r="AA8" s="79">
        <f t="shared" ref="AA8:AA17" si="5">Y8/(1-Z8)</f>
        <v>0</v>
      </c>
    </row>
    <row r="9">
      <c r="A9" s="80"/>
      <c r="B9" s="69" t="s">
        <v>30</v>
      </c>
      <c r="C9" s="70"/>
      <c r="D9" s="71"/>
      <c r="E9" s="81">
        <v>1.0</v>
      </c>
      <c r="F9" s="73" t="s">
        <v>29</v>
      </c>
      <c r="G9" s="82">
        <v>1.0</v>
      </c>
      <c r="H9" s="82">
        <v>3500.0</v>
      </c>
      <c r="I9" s="82"/>
      <c r="J9" s="82"/>
      <c r="K9" s="75">
        <f t="shared" si="1"/>
        <v>3500</v>
      </c>
      <c r="L9" s="76">
        <v>0.09</v>
      </c>
      <c r="M9" s="79">
        <f t="shared" si="2"/>
        <v>3846.153846</v>
      </c>
      <c r="N9" s="83"/>
      <c r="O9" s="60"/>
      <c r="P9" s="82">
        <v>1.0</v>
      </c>
      <c r="Q9" s="73" t="s">
        <v>29</v>
      </c>
      <c r="R9" s="82">
        <v>1.0</v>
      </c>
      <c r="S9" s="82"/>
      <c r="T9" s="82"/>
      <c r="U9" s="82"/>
      <c r="V9" s="75">
        <f t="shared" si="3"/>
        <v>0</v>
      </c>
      <c r="W9" s="76">
        <v>0.09</v>
      </c>
      <c r="X9" s="79">
        <f t="shared" si="4"/>
        <v>0</v>
      </c>
      <c r="Y9" s="75">
        <v>0.0</v>
      </c>
      <c r="Z9" s="76">
        <v>0.09</v>
      </c>
      <c r="AA9" s="79">
        <f t="shared" si="5"/>
        <v>0</v>
      </c>
    </row>
    <row r="10">
      <c r="A10" s="80"/>
      <c r="B10" s="69" t="s">
        <v>31</v>
      </c>
      <c r="C10" s="70"/>
      <c r="D10" s="71"/>
      <c r="E10" s="81">
        <v>1.0</v>
      </c>
      <c r="F10" s="73" t="s">
        <v>29</v>
      </c>
      <c r="G10" s="82">
        <v>1.0</v>
      </c>
      <c r="H10" s="82"/>
      <c r="I10" s="82"/>
      <c r="J10" s="82"/>
      <c r="K10" s="75">
        <f t="shared" si="1"/>
        <v>0</v>
      </c>
      <c r="L10" s="76">
        <v>0.09</v>
      </c>
      <c r="M10" s="79">
        <f t="shared" si="2"/>
        <v>0</v>
      </c>
      <c r="N10" s="84"/>
      <c r="O10" s="60"/>
      <c r="P10" s="82">
        <v>1.0</v>
      </c>
      <c r="Q10" s="73" t="s">
        <v>29</v>
      </c>
      <c r="R10" s="82">
        <v>1.0</v>
      </c>
      <c r="S10" s="82"/>
      <c r="T10" s="82"/>
      <c r="U10" s="82"/>
      <c r="V10" s="75">
        <f t="shared" si="3"/>
        <v>0</v>
      </c>
      <c r="W10" s="76">
        <v>0.09</v>
      </c>
      <c r="X10" s="79">
        <f t="shared" si="4"/>
        <v>0</v>
      </c>
      <c r="Y10" s="75">
        <v>0.0</v>
      </c>
      <c r="Z10" s="76">
        <v>0.09</v>
      </c>
      <c r="AA10" s="79">
        <f t="shared" si="5"/>
        <v>0</v>
      </c>
    </row>
    <row r="11">
      <c r="A11" s="80"/>
      <c r="B11" s="69" t="s">
        <v>32</v>
      </c>
      <c r="C11" s="70"/>
      <c r="D11" s="71"/>
      <c r="E11" s="81">
        <v>1.0</v>
      </c>
      <c r="F11" s="73" t="s">
        <v>29</v>
      </c>
      <c r="G11" s="82">
        <v>1.0</v>
      </c>
      <c r="H11" s="82"/>
      <c r="I11" s="82"/>
      <c r="J11" s="82"/>
      <c r="K11" s="75">
        <f t="shared" si="1"/>
        <v>0</v>
      </c>
      <c r="L11" s="76">
        <v>0.09</v>
      </c>
      <c r="M11" s="79">
        <f t="shared" si="2"/>
        <v>0</v>
      </c>
      <c r="N11" s="84"/>
      <c r="O11" s="60"/>
      <c r="P11" s="82">
        <v>1.0</v>
      </c>
      <c r="Q11" s="73" t="s">
        <v>29</v>
      </c>
      <c r="R11" s="82">
        <v>1.0</v>
      </c>
      <c r="S11" s="82"/>
      <c r="T11" s="82"/>
      <c r="U11" s="82"/>
      <c r="V11" s="75">
        <f t="shared" si="3"/>
        <v>0</v>
      </c>
      <c r="W11" s="76">
        <v>0.09</v>
      </c>
      <c r="X11" s="79">
        <f t="shared" si="4"/>
        <v>0</v>
      </c>
      <c r="Y11" s="75">
        <v>0.0</v>
      </c>
      <c r="Z11" s="76">
        <v>0.09</v>
      </c>
      <c r="AA11" s="79">
        <f t="shared" si="5"/>
        <v>0</v>
      </c>
    </row>
    <row r="12">
      <c r="A12" s="80"/>
      <c r="B12" s="69" t="s">
        <v>33</v>
      </c>
      <c r="C12" s="70"/>
      <c r="D12" s="71"/>
      <c r="E12" s="81">
        <v>1.0</v>
      </c>
      <c r="F12" s="73" t="s">
        <v>34</v>
      </c>
      <c r="G12" s="82">
        <v>1.0</v>
      </c>
      <c r="H12" s="82"/>
      <c r="I12" s="82"/>
      <c r="J12" s="82"/>
      <c r="K12" s="75">
        <f t="shared" si="1"/>
        <v>0</v>
      </c>
      <c r="L12" s="76">
        <v>0.09</v>
      </c>
      <c r="M12" s="79">
        <f t="shared" si="2"/>
        <v>0</v>
      </c>
      <c r="N12" s="84"/>
      <c r="O12" s="60"/>
      <c r="P12" s="82">
        <v>1.0</v>
      </c>
      <c r="Q12" s="73" t="s">
        <v>34</v>
      </c>
      <c r="R12" s="82">
        <v>1.0</v>
      </c>
      <c r="S12" s="82"/>
      <c r="T12" s="82"/>
      <c r="U12" s="82"/>
      <c r="V12" s="75">
        <f t="shared" si="3"/>
        <v>0</v>
      </c>
      <c r="W12" s="76">
        <v>0.09</v>
      </c>
      <c r="X12" s="79">
        <f t="shared" si="4"/>
        <v>0</v>
      </c>
      <c r="Y12" s="75">
        <v>0.0</v>
      </c>
      <c r="Z12" s="76">
        <v>0.09</v>
      </c>
      <c r="AA12" s="79">
        <f t="shared" si="5"/>
        <v>0</v>
      </c>
    </row>
    <row r="13">
      <c r="A13" s="80"/>
      <c r="B13" s="69" t="s">
        <v>35</v>
      </c>
      <c r="C13" s="70"/>
      <c r="D13" s="71"/>
      <c r="E13" s="81">
        <v>1.0</v>
      </c>
      <c r="F13" s="73" t="s">
        <v>29</v>
      </c>
      <c r="G13" s="82">
        <v>1.0</v>
      </c>
      <c r="H13" s="82"/>
      <c r="I13" s="82"/>
      <c r="J13" s="82"/>
      <c r="K13" s="75">
        <f t="shared" si="1"/>
        <v>0</v>
      </c>
      <c r="L13" s="76">
        <v>0.09</v>
      </c>
      <c r="M13" s="79">
        <f t="shared" si="2"/>
        <v>0</v>
      </c>
      <c r="N13" s="84"/>
      <c r="O13" s="60"/>
      <c r="P13" s="82">
        <v>1.0</v>
      </c>
      <c r="Q13" s="73" t="s">
        <v>29</v>
      </c>
      <c r="R13" s="82">
        <v>1.0</v>
      </c>
      <c r="S13" s="82"/>
      <c r="T13" s="82"/>
      <c r="U13" s="82"/>
      <c r="V13" s="75">
        <f t="shared" si="3"/>
        <v>0</v>
      </c>
      <c r="W13" s="76">
        <v>0.09</v>
      </c>
      <c r="X13" s="79">
        <f t="shared" si="4"/>
        <v>0</v>
      </c>
      <c r="Y13" s="75">
        <v>0.0</v>
      </c>
      <c r="Z13" s="76">
        <v>0.09</v>
      </c>
      <c r="AA13" s="79">
        <f t="shared" si="5"/>
        <v>0</v>
      </c>
    </row>
    <row r="14">
      <c r="A14" s="80"/>
      <c r="B14" s="69" t="s">
        <v>36</v>
      </c>
      <c r="C14" s="70"/>
      <c r="D14" s="71"/>
      <c r="E14" s="81">
        <v>1.0</v>
      </c>
      <c r="F14" s="73" t="s">
        <v>29</v>
      </c>
      <c r="G14" s="82">
        <v>1.0</v>
      </c>
      <c r="H14" s="82"/>
      <c r="I14" s="82"/>
      <c r="J14" s="82"/>
      <c r="K14" s="75">
        <f t="shared" si="1"/>
        <v>0</v>
      </c>
      <c r="L14" s="76">
        <v>0.09</v>
      </c>
      <c r="M14" s="79">
        <f t="shared" si="2"/>
        <v>0</v>
      </c>
      <c r="N14" s="84"/>
      <c r="O14" s="60"/>
      <c r="P14" s="82">
        <v>1.0</v>
      </c>
      <c r="Q14" s="73" t="s">
        <v>29</v>
      </c>
      <c r="R14" s="82">
        <v>1.0</v>
      </c>
      <c r="S14" s="82"/>
      <c r="T14" s="82"/>
      <c r="U14" s="82"/>
      <c r="V14" s="75">
        <f t="shared" si="3"/>
        <v>0</v>
      </c>
      <c r="W14" s="76">
        <v>0.09</v>
      </c>
      <c r="X14" s="79">
        <f t="shared" si="4"/>
        <v>0</v>
      </c>
      <c r="Y14" s="75">
        <v>0.0</v>
      </c>
      <c r="Z14" s="76">
        <v>0.09</v>
      </c>
      <c r="AA14" s="79">
        <f t="shared" si="5"/>
        <v>0</v>
      </c>
    </row>
    <row r="15">
      <c r="A15" s="80"/>
      <c r="B15" s="69" t="s">
        <v>37</v>
      </c>
      <c r="C15" s="70"/>
      <c r="D15" s="71"/>
      <c r="E15" s="81">
        <v>1.0</v>
      </c>
      <c r="F15" s="73" t="s">
        <v>29</v>
      </c>
      <c r="G15" s="82">
        <v>1.0</v>
      </c>
      <c r="H15" s="82"/>
      <c r="I15" s="82"/>
      <c r="J15" s="82"/>
      <c r="K15" s="75">
        <f t="shared" si="1"/>
        <v>0</v>
      </c>
      <c r="L15" s="76">
        <v>0.09</v>
      </c>
      <c r="M15" s="79">
        <f t="shared" si="2"/>
        <v>0</v>
      </c>
      <c r="N15" s="84"/>
      <c r="O15" s="60"/>
      <c r="P15" s="82">
        <v>1.0</v>
      </c>
      <c r="Q15" s="73" t="s">
        <v>29</v>
      </c>
      <c r="R15" s="82">
        <v>1.0</v>
      </c>
      <c r="S15" s="82"/>
      <c r="T15" s="82"/>
      <c r="U15" s="82"/>
      <c r="V15" s="75">
        <f t="shared" si="3"/>
        <v>0</v>
      </c>
      <c r="W15" s="76">
        <v>0.09</v>
      </c>
      <c r="X15" s="79">
        <f t="shared" si="4"/>
        <v>0</v>
      </c>
      <c r="Y15" s="75">
        <v>0.0</v>
      </c>
      <c r="Z15" s="76">
        <v>0.09</v>
      </c>
      <c r="AA15" s="79">
        <f t="shared" si="5"/>
        <v>0</v>
      </c>
    </row>
    <row r="16">
      <c r="A16" s="80"/>
      <c r="B16" s="69" t="s">
        <v>38</v>
      </c>
      <c r="C16" s="70"/>
      <c r="D16" s="71"/>
      <c r="E16" s="81">
        <v>1.0</v>
      </c>
      <c r="F16" s="73" t="s">
        <v>29</v>
      </c>
      <c r="G16" s="82">
        <v>1.0</v>
      </c>
      <c r="H16" s="82"/>
      <c r="I16" s="82"/>
      <c r="J16" s="82"/>
      <c r="K16" s="75">
        <f t="shared" si="1"/>
        <v>0</v>
      </c>
      <c r="L16" s="76">
        <v>0.09</v>
      </c>
      <c r="M16" s="79">
        <f t="shared" si="2"/>
        <v>0</v>
      </c>
      <c r="N16" s="84"/>
      <c r="O16" s="60"/>
      <c r="P16" s="82">
        <v>1.0</v>
      </c>
      <c r="Q16" s="73" t="s">
        <v>29</v>
      </c>
      <c r="R16" s="82">
        <v>1.0</v>
      </c>
      <c r="S16" s="82"/>
      <c r="T16" s="82"/>
      <c r="U16" s="82"/>
      <c r="V16" s="75">
        <f t="shared" si="3"/>
        <v>0</v>
      </c>
      <c r="W16" s="76">
        <v>0.09</v>
      </c>
      <c r="X16" s="79">
        <f t="shared" si="4"/>
        <v>0</v>
      </c>
      <c r="Y16" s="75">
        <v>0.0</v>
      </c>
      <c r="Z16" s="76">
        <v>0.09</v>
      </c>
      <c r="AA16" s="79">
        <f t="shared" si="5"/>
        <v>0</v>
      </c>
    </row>
    <row r="17">
      <c r="A17" s="80"/>
      <c r="B17" s="69" t="s">
        <v>39</v>
      </c>
      <c r="C17" s="70"/>
      <c r="D17" s="71"/>
      <c r="E17" s="81">
        <v>1.0</v>
      </c>
      <c r="F17" s="73" t="s">
        <v>29</v>
      </c>
      <c r="G17" s="82">
        <v>1.0</v>
      </c>
      <c r="H17" s="82"/>
      <c r="I17" s="82"/>
      <c r="J17" s="82"/>
      <c r="K17" s="75">
        <f t="shared" si="1"/>
        <v>0</v>
      </c>
      <c r="L17" s="76">
        <v>0.09</v>
      </c>
      <c r="M17" s="79">
        <f t="shared" si="2"/>
        <v>0</v>
      </c>
      <c r="N17" s="84"/>
      <c r="O17" s="60"/>
      <c r="P17" s="82">
        <v>1.0</v>
      </c>
      <c r="Q17" s="73" t="s">
        <v>29</v>
      </c>
      <c r="R17" s="82">
        <v>1.0</v>
      </c>
      <c r="S17" s="82"/>
      <c r="T17" s="82"/>
      <c r="U17" s="82"/>
      <c r="V17" s="75">
        <f t="shared" si="3"/>
        <v>0</v>
      </c>
      <c r="W17" s="76">
        <v>0.09</v>
      </c>
      <c r="X17" s="79">
        <f t="shared" si="4"/>
        <v>0</v>
      </c>
      <c r="Y17" s="75">
        <v>0.0</v>
      </c>
      <c r="Z17" s="76">
        <v>0.09</v>
      </c>
      <c r="AA17" s="79">
        <f t="shared" si="5"/>
        <v>0</v>
      </c>
    </row>
    <row r="18">
      <c r="A18" s="85"/>
      <c r="B18" s="86"/>
      <c r="C18" s="86"/>
      <c r="D18" s="87"/>
      <c r="E18" s="88"/>
      <c r="F18" s="89"/>
      <c r="G18" s="90"/>
      <c r="H18" s="90"/>
      <c r="I18" s="91"/>
      <c r="J18" s="91"/>
      <c r="K18" s="91"/>
      <c r="L18" s="92" t="s">
        <v>40</v>
      </c>
      <c r="M18" s="93">
        <f>SUM(M8:M17)</f>
        <v>3846.153846</v>
      </c>
      <c r="N18" s="94"/>
      <c r="O18" s="60"/>
      <c r="P18" s="95"/>
      <c r="Q18" s="89"/>
      <c r="R18" s="90"/>
      <c r="S18" s="90"/>
      <c r="T18" s="91"/>
      <c r="U18" s="91"/>
      <c r="V18" s="91"/>
      <c r="W18" s="92" t="s">
        <v>40</v>
      </c>
      <c r="X18" s="93">
        <f>SUM(X8:X17)</f>
        <v>0</v>
      </c>
      <c r="Y18" s="93"/>
      <c r="Z18" s="92" t="s">
        <v>40</v>
      </c>
      <c r="AA18" s="93">
        <f>SUM(AA8:AA17)</f>
        <v>0</v>
      </c>
    </row>
    <row r="19" ht="9.75" customHeight="1">
      <c r="A19" s="96"/>
      <c r="B19" s="96"/>
      <c r="C19" s="96"/>
      <c r="D19" s="96"/>
      <c r="E19" s="97"/>
      <c r="F19" s="98"/>
      <c r="G19" s="99"/>
      <c r="H19" s="99"/>
      <c r="I19" s="99"/>
      <c r="J19" s="99"/>
      <c r="K19" s="99"/>
      <c r="L19" s="99"/>
      <c r="M19" s="100"/>
      <c r="N19" s="101"/>
      <c r="O19" s="60"/>
      <c r="P19" s="98"/>
      <c r="Q19" s="98"/>
      <c r="R19" s="99"/>
      <c r="S19" s="99"/>
      <c r="T19" s="99"/>
      <c r="U19" s="99"/>
      <c r="V19" s="99"/>
      <c r="W19" s="99"/>
      <c r="X19" s="100"/>
      <c r="Y19" s="102"/>
      <c r="Z19" s="99"/>
      <c r="AA19" s="102"/>
    </row>
    <row r="20">
      <c r="A20" s="61" t="s">
        <v>41</v>
      </c>
      <c r="B20" s="62"/>
      <c r="C20" s="62"/>
      <c r="D20" s="63"/>
      <c r="E20" s="103"/>
      <c r="F20" s="67"/>
      <c r="G20" s="64"/>
      <c r="H20" s="64"/>
      <c r="I20" s="64"/>
      <c r="J20" s="64"/>
      <c r="K20" s="64"/>
      <c r="L20" s="64"/>
      <c r="M20" s="65"/>
      <c r="N20" s="104"/>
      <c r="O20" s="60"/>
      <c r="P20" s="67"/>
      <c r="Q20" s="67"/>
      <c r="R20" s="64"/>
      <c r="S20" s="64"/>
      <c r="T20" s="64"/>
      <c r="U20" s="64"/>
      <c r="V20" s="64"/>
      <c r="W20" s="64"/>
      <c r="X20" s="65"/>
      <c r="Y20" s="65"/>
      <c r="Z20" s="64"/>
      <c r="AA20" s="65"/>
    </row>
    <row r="21" ht="15.75" customHeight="1">
      <c r="A21" s="105"/>
      <c r="B21" s="106" t="s">
        <v>42</v>
      </c>
      <c r="C21" s="107"/>
      <c r="D21" s="108"/>
      <c r="E21" s="109"/>
      <c r="F21" s="110"/>
      <c r="G21" s="111"/>
      <c r="H21" s="111"/>
      <c r="I21" s="111"/>
      <c r="J21" s="111"/>
      <c r="K21" s="111"/>
      <c r="L21" s="111"/>
      <c r="M21" s="112"/>
      <c r="N21" s="113"/>
      <c r="O21" s="60"/>
      <c r="P21" s="110"/>
      <c r="Q21" s="110"/>
      <c r="R21" s="111"/>
      <c r="S21" s="111"/>
      <c r="T21" s="111"/>
      <c r="U21" s="111"/>
      <c r="V21" s="111"/>
      <c r="W21" s="111"/>
      <c r="X21" s="112"/>
      <c r="Y21" s="112"/>
      <c r="Z21" s="111"/>
      <c r="AA21" s="112"/>
    </row>
    <row r="22" ht="15.75" customHeight="1">
      <c r="A22" s="114"/>
      <c r="B22" s="115" t="s">
        <v>43</v>
      </c>
      <c r="C22" s="42"/>
      <c r="D22" s="43"/>
      <c r="E22" s="116">
        <v>1.0</v>
      </c>
      <c r="F22" s="73" t="s">
        <v>29</v>
      </c>
      <c r="G22" s="117">
        <v>1.0</v>
      </c>
      <c r="H22" s="117"/>
      <c r="I22" s="117"/>
      <c r="J22" s="117"/>
      <c r="K22" s="75">
        <f t="shared" ref="K22:K23" si="6">(E22*G22*H22)+(I22*J22*E22*G22)</f>
        <v>0</v>
      </c>
      <c r="L22" s="76">
        <v>0.09</v>
      </c>
      <c r="M22" s="79">
        <f t="shared" ref="M22:M23" si="7">K22/(1-L22)</f>
        <v>0</v>
      </c>
      <c r="N22" s="84"/>
      <c r="O22" s="60"/>
      <c r="P22" s="116">
        <v>1.0</v>
      </c>
      <c r="Q22" s="73" t="s">
        <v>29</v>
      </c>
      <c r="R22" s="117">
        <v>1.0</v>
      </c>
      <c r="S22" s="117"/>
      <c r="T22" s="117"/>
      <c r="U22" s="117"/>
      <c r="V22" s="75">
        <f t="shared" ref="V22:V23" si="8">(P22*R22*S22)+(T22*U22*P22*R22)</f>
        <v>0</v>
      </c>
      <c r="W22" s="76">
        <v>0.09</v>
      </c>
      <c r="X22" s="79">
        <f t="shared" ref="X22:X23" si="9">V22/(1-W22)</f>
        <v>0</v>
      </c>
      <c r="Y22" s="75">
        <v>0.0</v>
      </c>
      <c r="Z22" s="76">
        <v>0.09</v>
      </c>
      <c r="AA22" s="79">
        <f t="shared" ref="AA22:AA23" si="10">Y22/(1-Z22)</f>
        <v>0</v>
      </c>
    </row>
    <row r="23" ht="15.75" customHeight="1">
      <c r="A23" s="85"/>
      <c r="B23" s="115" t="s">
        <v>44</v>
      </c>
      <c r="C23" s="42"/>
      <c r="D23" s="43"/>
      <c r="E23" s="116">
        <v>1.0</v>
      </c>
      <c r="F23" s="116" t="s">
        <v>45</v>
      </c>
      <c r="G23" s="117">
        <v>1.0</v>
      </c>
      <c r="H23" s="117"/>
      <c r="I23" s="117"/>
      <c r="J23" s="117"/>
      <c r="K23" s="75">
        <f t="shared" si="6"/>
        <v>0</v>
      </c>
      <c r="L23" s="76">
        <v>0.09</v>
      </c>
      <c r="M23" s="79">
        <f t="shared" si="7"/>
        <v>0</v>
      </c>
      <c r="N23" s="84"/>
      <c r="O23" s="60"/>
      <c r="P23" s="116">
        <v>1.0</v>
      </c>
      <c r="Q23" s="116" t="s">
        <v>45</v>
      </c>
      <c r="R23" s="117">
        <v>1.0</v>
      </c>
      <c r="S23" s="117"/>
      <c r="T23" s="117"/>
      <c r="U23" s="117"/>
      <c r="V23" s="75">
        <f t="shared" si="8"/>
        <v>0</v>
      </c>
      <c r="W23" s="76">
        <v>0.09</v>
      </c>
      <c r="X23" s="79">
        <f t="shared" si="9"/>
        <v>0</v>
      </c>
      <c r="Y23" s="75">
        <v>0.0</v>
      </c>
      <c r="Z23" s="76">
        <v>0.09</v>
      </c>
      <c r="AA23" s="79">
        <f t="shared" si="10"/>
        <v>0</v>
      </c>
    </row>
    <row r="24" ht="15.75" customHeight="1">
      <c r="A24" s="118"/>
      <c r="B24" s="119" t="s">
        <v>46</v>
      </c>
      <c r="C24" s="120"/>
      <c r="D24" s="121"/>
      <c r="E24" s="122"/>
      <c r="F24" s="123"/>
      <c r="G24" s="124"/>
      <c r="H24" s="124"/>
      <c r="I24" s="124"/>
      <c r="J24" s="124"/>
      <c r="K24" s="124"/>
      <c r="L24" s="124"/>
      <c r="M24" s="125"/>
      <c r="N24" s="126"/>
      <c r="O24" s="60"/>
      <c r="P24" s="123"/>
      <c r="Q24" s="123"/>
      <c r="R24" s="124"/>
      <c r="S24" s="124"/>
      <c r="T24" s="124"/>
      <c r="U24" s="124"/>
      <c r="V24" s="124"/>
      <c r="W24" s="124"/>
      <c r="X24" s="125"/>
      <c r="Y24" s="125"/>
      <c r="Z24" s="124"/>
      <c r="AA24" s="125"/>
    </row>
    <row r="25" ht="15.75" customHeight="1">
      <c r="A25" s="80"/>
      <c r="B25" s="69" t="s">
        <v>47</v>
      </c>
      <c r="C25" s="70"/>
      <c r="D25" s="71"/>
      <c r="E25" s="127">
        <v>1.0</v>
      </c>
      <c r="F25" s="73" t="s">
        <v>29</v>
      </c>
      <c r="G25" s="128">
        <v>1.0</v>
      </c>
      <c r="H25" s="128"/>
      <c r="I25" s="128"/>
      <c r="J25" s="128"/>
      <c r="K25" s="75">
        <f t="shared" ref="K25:K28" si="11">(E25*G25*H25)+(I25*J25*E25*G25)</f>
        <v>0</v>
      </c>
      <c r="L25" s="76">
        <v>0.09</v>
      </c>
      <c r="M25" s="79">
        <f t="shared" ref="M25:M28" si="12">K25/(1-L25)</f>
        <v>0</v>
      </c>
      <c r="N25" s="84"/>
      <c r="O25" s="60"/>
      <c r="P25" s="128">
        <v>1.0</v>
      </c>
      <c r="Q25" s="73" t="s">
        <v>29</v>
      </c>
      <c r="R25" s="128">
        <v>1.0</v>
      </c>
      <c r="S25" s="128"/>
      <c r="T25" s="128"/>
      <c r="U25" s="128"/>
      <c r="V25" s="75">
        <f t="shared" ref="V25:V28" si="13">(P25*R25*S25)+(T25*U25*P25*R25)</f>
        <v>0</v>
      </c>
      <c r="W25" s="76">
        <v>0.09</v>
      </c>
      <c r="X25" s="79">
        <f t="shared" ref="X25:X28" si="14">V25/(1-W25)</f>
        <v>0</v>
      </c>
      <c r="Y25" s="75">
        <v>0.0</v>
      </c>
      <c r="Z25" s="76">
        <v>0.09</v>
      </c>
      <c r="AA25" s="79">
        <f t="shared" ref="AA25:AA28" si="15">Y25/(1-Z25)</f>
        <v>0</v>
      </c>
    </row>
    <row r="26" ht="15.75" customHeight="1">
      <c r="A26" s="80"/>
      <c r="B26" s="69" t="s">
        <v>48</v>
      </c>
      <c r="C26" s="70"/>
      <c r="D26" s="71"/>
      <c r="E26" s="81">
        <v>1.0</v>
      </c>
      <c r="F26" s="129" t="s">
        <v>49</v>
      </c>
      <c r="G26" s="82">
        <v>1.0</v>
      </c>
      <c r="H26" s="82"/>
      <c r="I26" s="130"/>
      <c r="J26" s="130"/>
      <c r="K26" s="75">
        <f t="shared" si="11"/>
        <v>0</v>
      </c>
      <c r="L26" s="76">
        <v>0.09</v>
      </c>
      <c r="M26" s="79">
        <f t="shared" si="12"/>
        <v>0</v>
      </c>
      <c r="N26" s="84"/>
      <c r="O26" s="60"/>
      <c r="P26" s="82">
        <v>1.0</v>
      </c>
      <c r="Q26" s="129" t="s">
        <v>49</v>
      </c>
      <c r="R26" s="82">
        <v>1.0</v>
      </c>
      <c r="S26" s="82"/>
      <c r="T26" s="130"/>
      <c r="U26" s="130"/>
      <c r="V26" s="75">
        <f t="shared" si="13"/>
        <v>0</v>
      </c>
      <c r="W26" s="76">
        <v>0.09</v>
      </c>
      <c r="X26" s="79">
        <f t="shared" si="14"/>
        <v>0</v>
      </c>
      <c r="Y26" s="75">
        <v>0.0</v>
      </c>
      <c r="Z26" s="76">
        <v>0.09</v>
      </c>
      <c r="AA26" s="79">
        <f t="shared" si="15"/>
        <v>0</v>
      </c>
    </row>
    <row r="27" ht="15.75" customHeight="1">
      <c r="A27" s="80"/>
      <c r="B27" s="69" t="s">
        <v>50</v>
      </c>
      <c r="C27" s="70"/>
      <c r="D27" s="71"/>
      <c r="E27" s="81">
        <v>1.0</v>
      </c>
      <c r="F27" s="129" t="s">
        <v>49</v>
      </c>
      <c r="G27" s="82">
        <v>1.0</v>
      </c>
      <c r="H27" s="82"/>
      <c r="I27" s="82"/>
      <c r="J27" s="82"/>
      <c r="K27" s="75">
        <f t="shared" si="11"/>
        <v>0</v>
      </c>
      <c r="L27" s="76">
        <v>0.09</v>
      </c>
      <c r="M27" s="79">
        <f t="shared" si="12"/>
        <v>0</v>
      </c>
      <c r="N27" s="84"/>
      <c r="O27" s="60"/>
      <c r="P27" s="82">
        <v>1.0</v>
      </c>
      <c r="Q27" s="129" t="s">
        <v>49</v>
      </c>
      <c r="R27" s="82">
        <v>1.0</v>
      </c>
      <c r="S27" s="82"/>
      <c r="T27" s="82"/>
      <c r="U27" s="82"/>
      <c r="V27" s="75">
        <f t="shared" si="13"/>
        <v>0</v>
      </c>
      <c r="W27" s="76">
        <v>0.09</v>
      </c>
      <c r="X27" s="79">
        <f t="shared" si="14"/>
        <v>0</v>
      </c>
      <c r="Y27" s="75">
        <v>0.0</v>
      </c>
      <c r="Z27" s="76">
        <v>0.09</v>
      </c>
      <c r="AA27" s="79">
        <f t="shared" si="15"/>
        <v>0</v>
      </c>
    </row>
    <row r="28" ht="15.75" customHeight="1">
      <c r="A28" s="80"/>
      <c r="B28" s="69" t="s">
        <v>51</v>
      </c>
      <c r="C28" s="70"/>
      <c r="D28" s="71"/>
      <c r="E28" s="81">
        <v>1.0</v>
      </c>
      <c r="F28" s="116" t="s">
        <v>45</v>
      </c>
      <c r="G28" s="82">
        <v>1.0</v>
      </c>
      <c r="H28" s="82"/>
      <c r="I28" s="130"/>
      <c r="J28" s="130"/>
      <c r="K28" s="75">
        <f t="shared" si="11"/>
        <v>0</v>
      </c>
      <c r="L28" s="76">
        <v>0.09</v>
      </c>
      <c r="M28" s="79">
        <f t="shared" si="12"/>
        <v>0</v>
      </c>
      <c r="N28" s="84"/>
      <c r="O28" s="60"/>
      <c r="P28" s="82">
        <v>1.0</v>
      </c>
      <c r="Q28" s="116" t="s">
        <v>45</v>
      </c>
      <c r="R28" s="82">
        <v>1.0</v>
      </c>
      <c r="S28" s="82"/>
      <c r="T28" s="130"/>
      <c r="U28" s="130"/>
      <c r="V28" s="75">
        <f t="shared" si="13"/>
        <v>0</v>
      </c>
      <c r="W28" s="76">
        <v>0.09</v>
      </c>
      <c r="X28" s="79">
        <f t="shared" si="14"/>
        <v>0</v>
      </c>
      <c r="Y28" s="75">
        <v>0.0</v>
      </c>
      <c r="Z28" s="76">
        <v>0.09</v>
      </c>
      <c r="AA28" s="79">
        <f t="shared" si="15"/>
        <v>0</v>
      </c>
    </row>
    <row r="29" ht="15.75" customHeight="1">
      <c r="A29" s="85"/>
      <c r="B29" s="69"/>
      <c r="C29" s="70"/>
      <c r="D29" s="71"/>
      <c r="E29" s="88"/>
      <c r="F29" s="95"/>
      <c r="G29" s="90"/>
      <c r="H29" s="90"/>
      <c r="I29" s="91"/>
      <c r="J29" s="91"/>
      <c r="K29" s="91"/>
      <c r="L29" s="92" t="s">
        <v>52</v>
      </c>
      <c r="M29" s="93">
        <f>SUM(M22:M28)</f>
        <v>0</v>
      </c>
      <c r="N29" s="94"/>
      <c r="O29" s="60"/>
      <c r="P29" s="95"/>
      <c r="Q29" s="95"/>
      <c r="R29" s="90"/>
      <c r="S29" s="90"/>
      <c r="T29" s="91"/>
      <c r="U29" s="91"/>
      <c r="V29" s="91"/>
      <c r="W29" s="92" t="s">
        <v>52</v>
      </c>
      <c r="X29" s="93">
        <f>SUM(X22:X28)</f>
        <v>0</v>
      </c>
      <c r="Y29" s="131"/>
      <c r="Z29" s="92" t="s">
        <v>52</v>
      </c>
      <c r="AA29" s="93">
        <f>SUM(AA22:AA28)</f>
        <v>0</v>
      </c>
    </row>
    <row r="30" ht="9.75" customHeight="1">
      <c r="A30" s="96"/>
      <c r="B30" s="96"/>
      <c r="C30" s="96"/>
      <c r="D30" s="96"/>
      <c r="E30" s="132"/>
      <c r="F30" s="133"/>
      <c r="G30" s="134"/>
      <c r="H30" s="134"/>
      <c r="I30" s="134"/>
      <c r="J30" s="134"/>
      <c r="K30" s="134"/>
      <c r="L30" s="134"/>
      <c r="M30" s="135"/>
      <c r="N30" s="136"/>
      <c r="O30" s="60"/>
      <c r="P30" s="137"/>
      <c r="Q30" s="137"/>
      <c r="R30" s="96"/>
      <c r="S30" s="96"/>
      <c r="T30" s="96"/>
      <c r="U30" s="96"/>
      <c r="V30" s="96"/>
      <c r="W30" s="96"/>
      <c r="X30" s="138"/>
      <c r="Y30" s="139"/>
      <c r="Z30" s="96"/>
      <c r="AA30" s="139"/>
    </row>
    <row r="31" ht="15.75" customHeight="1">
      <c r="A31" s="61" t="s">
        <v>53</v>
      </c>
      <c r="B31" s="62"/>
      <c r="C31" s="62"/>
      <c r="D31" s="63"/>
      <c r="E31" s="103"/>
      <c r="F31" s="67"/>
      <c r="G31" s="64"/>
      <c r="H31" s="64"/>
      <c r="I31" s="64"/>
      <c r="J31" s="64"/>
      <c r="K31" s="64"/>
      <c r="L31" s="64"/>
      <c r="M31" s="65"/>
      <c r="N31" s="140"/>
      <c r="O31" s="60"/>
      <c r="P31" s="141"/>
      <c r="Q31" s="141"/>
      <c r="R31" s="142"/>
      <c r="S31" s="142"/>
      <c r="T31" s="142"/>
      <c r="U31" s="142"/>
      <c r="V31" s="142"/>
      <c r="W31" s="142"/>
      <c r="X31" s="143"/>
      <c r="Y31" s="143"/>
      <c r="Z31" s="142"/>
      <c r="AA31" s="143"/>
    </row>
    <row r="32" ht="15.75" customHeight="1">
      <c r="A32" s="68"/>
      <c r="B32" s="69" t="s">
        <v>54</v>
      </c>
      <c r="C32" s="70"/>
      <c r="D32" s="71"/>
      <c r="E32" s="72">
        <v>1.0</v>
      </c>
      <c r="F32" s="116" t="s">
        <v>45</v>
      </c>
      <c r="G32" s="74">
        <v>1.0</v>
      </c>
      <c r="H32" s="74"/>
      <c r="I32" s="74"/>
      <c r="J32" s="74"/>
      <c r="K32" s="75">
        <f t="shared" ref="K32:K36" si="16">(E32*G32*H32)+(I32*J32*E32*G32)</f>
        <v>0</v>
      </c>
      <c r="L32" s="76">
        <v>0.09</v>
      </c>
      <c r="M32" s="79">
        <f t="shared" ref="M32:M36" si="17">K32/(1-L32)</f>
        <v>0</v>
      </c>
      <c r="N32" s="84"/>
      <c r="O32" s="60"/>
      <c r="P32" s="74">
        <v>1.0</v>
      </c>
      <c r="Q32" s="116" t="s">
        <v>45</v>
      </c>
      <c r="R32" s="74">
        <v>1.0</v>
      </c>
      <c r="S32" s="74"/>
      <c r="T32" s="74"/>
      <c r="U32" s="74"/>
      <c r="V32" s="75">
        <f t="shared" ref="V32:V36" si="18">(P32*R32*S32)+(T32*U32*P32*R32)</f>
        <v>0</v>
      </c>
      <c r="W32" s="76">
        <v>0.09</v>
      </c>
      <c r="X32" s="79">
        <f t="shared" ref="X32:X36" si="19">V32/(1-W32)</f>
        <v>0</v>
      </c>
      <c r="Y32" s="75">
        <v>0.0</v>
      </c>
      <c r="Z32" s="76">
        <v>0.09</v>
      </c>
      <c r="AA32" s="79">
        <f t="shared" ref="AA32:AA36" si="20">Y32/(1-Z32)</f>
        <v>0</v>
      </c>
    </row>
    <row r="33" ht="15.75" customHeight="1">
      <c r="A33" s="114"/>
      <c r="B33" s="69" t="s">
        <v>55</v>
      </c>
      <c r="C33" s="70"/>
      <c r="D33" s="71"/>
      <c r="E33" s="81">
        <v>1.0</v>
      </c>
      <c r="F33" s="116" t="s">
        <v>45</v>
      </c>
      <c r="G33" s="82">
        <v>1.0</v>
      </c>
      <c r="H33" s="82"/>
      <c r="I33" s="82"/>
      <c r="J33" s="82"/>
      <c r="K33" s="75">
        <f t="shared" si="16"/>
        <v>0</v>
      </c>
      <c r="L33" s="76">
        <v>0.09</v>
      </c>
      <c r="M33" s="79">
        <f t="shared" si="17"/>
        <v>0</v>
      </c>
      <c r="N33" s="84"/>
      <c r="O33" s="60"/>
      <c r="P33" s="82">
        <v>1.0</v>
      </c>
      <c r="Q33" s="116" t="s">
        <v>45</v>
      </c>
      <c r="R33" s="82">
        <v>1.0</v>
      </c>
      <c r="S33" s="82"/>
      <c r="T33" s="82"/>
      <c r="U33" s="82"/>
      <c r="V33" s="75">
        <f t="shared" si="18"/>
        <v>0</v>
      </c>
      <c r="W33" s="76">
        <v>0.09</v>
      </c>
      <c r="X33" s="79">
        <f t="shared" si="19"/>
        <v>0</v>
      </c>
      <c r="Y33" s="75">
        <v>0.0</v>
      </c>
      <c r="Z33" s="76">
        <v>0.09</v>
      </c>
      <c r="AA33" s="79">
        <f t="shared" si="20"/>
        <v>0</v>
      </c>
    </row>
    <row r="34" ht="15.75" customHeight="1">
      <c r="A34" s="80"/>
      <c r="B34" s="69" t="s">
        <v>56</v>
      </c>
      <c r="C34" s="70"/>
      <c r="D34" s="71"/>
      <c r="E34" s="81">
        <v>1.0</v>
      </c>
      <c r="F34" s="116" t="s">
        <v>45</v>
      </c>
      <c r="G34" s="82">
        <v>1.0</v>
      </c>
      <c r="H34" s="82"/>
      <c r="I34" s="82"/>
      <c r="J34" s="82"/>
      <c r="K34" s="75">
        <f t="shared" si="16"/>
        <v>0</v>
      </c>
      <c r="L34" s="76">
        <v>0.09</v>
      </c>
      <c r="M34" s="79">
        <f t="shared" si="17"/>
        <v>0</v>
      </c>
      <c r="N34" s="84"/>
      <c r="O34" s="60"/>
      <c r="P34" s="82">
        <v>1.0</v>
      </c>
      <c r="Q34" s="116" t="s">
        <v>45</v>
      </c>
      <c r="R34" s="82">
        <v>1.0</v>
      </c>
      <c r="S34" s="82"/>
      <c r="T34" s="82"/>
      <c r="U34" s="82"/>
      <c r="V34" s="75">
        <f t="shared" si="18"/>
        <v>0</v>
      </c>
      <c r="W34" s="76">
        <v>0.09</v>
      </c>
      <c r="X34" s="79">
        <f t="shared" si="19"/>
        <v>0</v>
      </c>
      <c r="Y34" s="75">
        <v>0.0</v>
      </c>
      <c r="Z34" s="76">
        <v>0.09</v>
      </c>
      <c r="AA34" s="79">
        <f t="shared" si="20"/>
        <v>0</v>
      </c>
    </row>
    <row r="35" ht="15.75" customHeight="1">
      <c r="A35" s="80"/>
      <c r="B35" s="69" t="s">
        <v>57</v>
      </c>
      <c r="C35" s="70"/>
      <c r="D35" s="71"/>
      <c r="E35" s="81">
        <v>1.0</v>
      </c>
      <c r="F35" s="116" t="s">
        <v>45</v>
      </c>
      <c r="G35" s="82">
        <v>1.0</v>
      </c>
      <c r="H35" s="75">
        <v>12000.0</v>
      </c>
      <c r="I35" s="82"/>
      <c r="J35" s="75">
        <v>1500.0</v>
      </c>
      <c r="K35" s="75">
        <f t="shared" si="16"/>
        <v>12000</v>
      </c>
      <c r="L35" s="76">
        <v>0.09</v>
      </c>
      <c r="M35" s="79">
        <f t="shared" si="17"/>
        <v>13186.81319</v>
      </c>
      <c r="N35" s="84"/>
      <c r="O35" s="60"/>
      <c r="P35" s="82">
        <v>1.0</v>
      </c>
      <c r="Q35" s="116" t="s">
        <v>45</v>
      </c>
      <c r="R35" s="82">
        <v>1.0</v>
      </c>
      <c r="S35" s="75">
        <v>12000.0</v>
      </c>
      <c r="T35" s="82"/>
      <c r="U35" s="75">
        <v>1500.0</v>
      </c>
      <c r="V35" s="75">
        <f t="shared" si="18"/>
        <v>12000</v>
      </c>
      <c r="W35" s="76">
        <v>0.09</v>
      </c>
      <c r="X35" s="79">
        <f t="shared" si="19"/>
        <v>13186.81319</v>
      </c>
      <c r="Y35" s="75">
        <v>0.0</v>
      </c>
      <c r="Z35" s="76">
        <v>0.09</v>
      </c>
      <c r="AA35" s="79">
        <f t="shared" si="20"/>
        <v>0</v>
      </c>
    </row>
    <row r="36" ht="15.75" customHeight="1">
      <c r="A36" s="80"/>
      <c r="B36" s="69" t="s">
        <v>58</v>
      </c>
      <c r="C36" s="70"/>
      <c r="D36" s="71"/>
      <c r="E36" s="81">
        <v>1.0</v>
      </c>
      <c r="F36" s="116" t="s">
        <v>45</v>
      </c>
      <c r="G36" s="82">
        <v>1.0</v>
      </c>
      <c r="H36" s="82"/>
      <c r="I36" s="82"/>
      <c r="J36" s="82"/>
      <c r="K36" s="75">
        <f t="shared" si="16"/>
        <v>0</v>
      </c>
      <c r="L36" s="76">
        <v>0.09</v>
      </c>
      <c r="M36" s="79">
        <f t="shared" si="17"/>
        <v>0</v>
      </c>
      <c r="N36" s="84"/>
      <c r="O36" s="60"/>
      <c r="P36" s="82">
        <v>1.0</v>
      </c>
      <c r="Q36" s="116" t="s">
        <v>45</v>
      </c>
      <c r="R36" s="82">
        <v>1.0</v>
      </c>
      <c r="S36" s="82"/>
      <c r="T36" s="82"/>
      <c r="U36" s="82"/>
      <c r="V36" s="75">
        <f t="shared" si="18"/>
        <v>0</v>
      </c>
      <c r="W36" s="76">
        <v>0.09</v>
      </c>
      <c r="X36" s="79">
        <f t="shared" si="19"/>
        <v>0</v>
      </c>
      <c r="Y36" s="75">
        <v>0.0</v>
      </c>
      <c r="Z36" s="76">
        <v>0.09</v>
      </c>
      <c r="AA36" s="79">
        <f t="shared" si="20"/>
        <v>0</v>
      </c>
    </row>
    <row r="37" ht="15.75" customHeight="1">
      <c r="A37" s="85"/>
      <c r="B37" s="85"/>
      <c r="C37" s="85"/>
      <c r="D37" s="85"/>
      <c r="E37" s="88"/>
      <c r="F37" s="95"/>
      <c r="G37" s="90"/>
      <c r="H37" s="90"/>
      <c r="I37" s="91"/>
      <c r="J37" s="91"/>
      <c r="K37" s="91"/>
      <c r="L37" s="92" t="s">
        <v>59</v>
      </c>
      <c r="M37" s="93">
        <f>SUM(M32:M36)</f>
        <v>13186.81319</v>
      </c>
      <c r="N37" s="94"/>
      <c r="O37" s="60"/>
      <c r="P37" s="95"/>
      <c r="Q37" s="95"/>
      <c r="R37" s="90"/>
      <c r="S37" s="90"/>
      <c r="T37" s="91"/>
      <c r="U37" s="91"/>
      <c r="V37" s="91"/>
      <c r="W37" s="92" t="s">
        <v>59</v>
      </c>
      <c r="X37" s="93">
        <f>SUM(X32:X36)</f>
        <v>13186.81319</v>
      </c>
      <c r="Y37" s="131"/>
      <c r="Z37" s="92" t="s">
        <v>59</v>
      </c>
      <c r="AA37" s="93">
        <f>SUM(AA32:AA36)</f>
        <v>0</v>
      </c>
    </row>
    <row r="38" ht="9.75" customHeight="1">
      <c r="A38" s="96"/>
      <c r="B38" s="96"/>
      <c r="C38" s="96"/>
      <c r="D38" s="96"/>
      <c r="E38" s="132"/>
      <c r="F38" s="133"/>
      <c r="G38" s="134"/>
      <c r="H38" s="134"/>
      <c r="I38" s="134"/>
      <c r="J38" s="134"/>
      <c r="K38" s="134"/>
      <c r="L38" s="134"/>
      <c r="M38" s="135"/>
      <c r="N38" s="136"/>
      <c r="O38" s="60"/>
      <c r="P38" s="137"/>
      <c r="Q38" s="137"/>
      <c r="R38" s="96"/>
      <c r="S38" s="96"/>
      <c r="T38" s="96"/>
      <c r="U38" s="96"/>
      <c r="V38" s="96"/>
      <c r="W38" s="96"/>
      <c r="X38" s="138"/>
      <c r="Y38" s="139"/>
      <c r="Z38" s="96"/>
      <c r="AA38" s="139"/>
    </row>
    <row r="39" ht="15.75" customHeight="1">
      <c r="A39" s="61" t="s">
        <v>60</v>
      </c>
      <c r="B39" s="62"/>
      <c r="C39" s="62"/>
      <c r="D39" s="63"/>
      <c r="E39" s="103"/>
      <c r="F39" s="67"/>
      <c r="G39" s="64"/>
      <c r="H39" s="64"/>
      <c r="I39" s="64"/>
      <c r="J39" s="64"/>
      <c r="K39" s="64"/>
      <c r="L39" s="64"/>
      <c r="M39" s="65"/>
      <c r="N39" s="144"/>
      <c r="O39" s="60"/>
      <c r="P39" s="141"/>
      <c r="Q39" s="141"/>
      <c r="R39" s="142"/>
      <c r="S39" s="142"/>
      <c r="T39" s="142"/>
      <c r="U39" s="142"/>
      <c r="V39" s="142"/>
      <c r="W39" s="142"/>
      <c r="X39" s="143"/>
      <c r="Y39" s="143"/>
      <c r="Z39" s="142"/>
      <c r="AA39" s="143"/>
    </row>
    <row r="40" ht="15.75" customHeight="1">
      <c r="A40" s="105"/>
      <c r="B40" s="145" t="s">
        <v>61</v>
      </c>
      <c r="C40" s="146"/>
      <c r="D40" s="147"/>
      <c r="E40" s="109"/>
      <c r="F40" s="110"/>
      <c r="G40" s="111"/>
      <c r="H40" s="111"/>
      <c r="I40" s="111"/>
      <c r="J40" s="111"/>
      <c r="K40" s="111"/>
      <c r="L40" s="111"/>
      <c r="M40" s="112"/>
      <c r="N40" s="113"/>
      <c r="O40" s="60"/>
      <c r="P40" s="148"/>
      <c r="Q40" s="148"/>
      <c r="R40" s="149"/>
      <c r="S40" s="149"/>
      <c r="T40" s="149"/>
      <c r="U40" s="149"/>
      <c r="V40" s="149"/>
      <c r="W40" s="149"/>
      <c r="X40" s="150"/>
      <c r="Y40" s="150"/>
      <c r="Z40" s="149"/>
      <c r="AA40" s="150"/>
    </row>
    <row r="41" ht="15.75" customHeight="1">
      <c r="A41" s="85"/>
      <c r="B41" s="151" t="s">
        <v>62</v>
      </c>
      <c r="C41" s="152"/>
      <c r="D41" s="153"/>
      <c r="E41" s="116">
        <v>1.0</v>
      </c>
      <c r="F41" s="116" t="s">
        <v>29</v>
      </c>
      <c r="G41" s="117">
        <v>1.0</v>
      </c>
      <c r="H41" s="117">
        <v>200000.0</v>
      </c>
      <c r="I41" s="117"/>
      <c r="J41" s="117"/>
      <c r="K41" s="75">
        <f t="shared" ref="K41:K47" si="21">(E41*G41*H41)+(I41*J41*E41*G41)</f>
        <v>200000</v>
      </c>
      <c r="L41" s="76">
        <v>0.09</v>
      </c>
      <c r="M41" s="79">
        <f t="shared" ref="M41:M47" si="22">K41/(1-L41)</f>
        <v>219780.2198</v>
      </c>
      <c r="N41" s="84"/>
      <c r="O41" s="60"/>
      <c r="P41" s="116">
        <v>1.0</v>
      </c>
      <c r="Q41" s="116" t="s">
        <v>29</v>
      </c>
      <c r="R41" s="117">
        <v>1.0</v>
      </c>
      <c r="S41" s="117">
        <v>200000.0</v>
      </c>
      <c r="T41" s="117"/>
      <c r="U41" s="117"/>
      <c r="V41" s="75">
        <f t="shared" ref="V41:V47" si="23">(P41*R41*S41)+(T41*U41*P41*R41)</f>
        <v>200000</v>
      </c>
      <c r="W41" s="76">
        <v>0.09</v>
      </c>
      <c r="X41" s="79">
        <f t="shared" ref="X41:X47" si="24">V41/(1-W41)</f>
        <v>219780.2198</v>
      </c>
      <c r="Y41" s="75">
        <v>0.0</v>
      </c>
      <c r="Z41" s="76">
        <v>0.09</v>
      </c>
      <c r="AA41" s="79">
        <f t="shared" ref="AA41:AA47" si="25">Y41/(1-Z41)</f>
        <v>0</v>
      </c>
    </row>
    <row r="42" ht="15.75" customHeight="1">
      <c r="A42" s="85"/>
      <c r="B42" s="115" t="s">
        <v>63</v>
      </c>
      <c r="C42" s="42"/>
      <c r="D42" s="43"/>
      <c r="E42" s="154">
        <v>1.0</v>
      </c>
      <c r="F42" s="116" t="s">
        <v>29</v>
      </c>
      <c r="G42" s="75">
        <v>1.0</v>
      </c>
      <c r="H42" s="75"/>
      <c r="I42" s="75"/>
      <c r="J42" s="75"/>
      <c r="K42" s="75">
        <f t="shared" si="21"/>
        <v>0</v>
      </c>
      <c r="L42" s="76">
        <v>0.09</v>
      </c>
      <c r="M42" s="79">
        <f t="shared" si="22"/>
        <v>0</v>
      </c>
      <c r="N42" s="84"/>
      <c r="O42" s="60"/>
      <c r="P42" s="154">
        <v>1.0</v>
      </c>
      <c r="Q42" s="116" t="s">
        <v>29</v>
      </c>
      <c r="R42" s="75">
        <v>1.0</v>
      </c>
      <c r="S42" s="75"/>
      <c r="T42" s="75"/>
      <c r="U42" s="75"/>
      <c r="V42" s="75">
        <f t="shared" si="23"/>
        <v>0</v>
      </c>
      <c r="W42" s="76">
        <v>0.09</v>
      </c>
      <c r="X42" s="79">
        <f t="shared" si="24"/>
        <v>0</v>
      </c>
      <c r="Y42" s="75">
        <v>0.0</v>
      </c>
      <c r="Z42" s="76">
        <v>0.09</v>
      </c>
      <c r="AA42" s="79">
        <f t="shared" si="25"/>
        <v>0</v>
      </c>
    </row>
    <row r="43" ht="15.75" customHeight="1">
      <c r="A43" s="85"/>
      <c r="B43" s="115" t="s">
        <v>64</v>
      </c>
      <c r="C43" s="42"/>
      <c r="D43" s="43"/>
      <c r="E43" s="154">
        <v>1.0</v>
      </c>
      <c r="F43" s="116" t="s">
        <v>29</v>
      </c>
      <c r="G43" s="75">
        <v>1.0</v>
      </c>
      <c r="H43" s="75"/>
      <c r="I43" s="75"/>
      <c r="J43" s="75"/>
      <c r="K43" s="75">
        <f t="shared" si="21"/>
        <v>0</v>
      </c>
      <c r="L43" s="76">
        <v>0.09</v>
      </c>
      <c r="M43" s="79">
        <f t="shared" si="22"/>
        <v>0</v>
      </c>
      <c r="N43" s="84"/>
      <c r="O43" s="60"/>
      <c r="P43" s="154">
        <v>1.0</v>
      </c>
      <c r="Q43" s="116" t="s">
        <v>29</v>
      </c>
      <c r="R43" s="75">
        <v>1.0</v>
      </c>
      <c r="S43" s="75"/>
      <c r="T43" s="75"/>
      <c r="U43" s="75"/>
      <c r="V43" s="75">
        <f t="shared" si="23"/>
        <v>0</v>
      </c>
      <c r="W43" s="76">
        <v>0.09</v>
      </c>
      <c r="X43" s="79">
        <f t="shared" si="24"/>
        <v>0</v>
      </c>
      <c r="Y43" s="75">
        <v>0.0</v>
      </c>
      <c r="Z43" s="76">
        <v>0.09</v>
      </c>
      <c r="AA43" s="79">
        <f t="shared" si="25"/>
        <v>0</v>
      </c>
    </row>
    <row r="44" ht="15.75" customHeight="1">
      <c r="A44" s="85"/>
      <c r="B44" s="115" t="s">
        <v>65</v>
      </c>
      <c r="C44" s="42"/>
      <c r="D44" s="43"/>
      <c r="E44" s="154">
        <v>1.0</v>
      </c>
      <c r="F44" s="116" t="s">
        <v>29</v>
      </c>
      <c r="G44" s="75">
        <v>1.0</v>
      </c>
      <c r="H44" s="75">
        <v>150000.0</v>
      </c>
      <c r="I44" s="75"/>
      <c r="J44" s="75"/>
      <c r="K44" s="75">
        <f t="shared" si="21"/>
        <v>150000</v>
      </c>
      <c r="L44" s="76">
        <v>0.09</v>
      </c>
      <c r="M44" s="79">
        <f t="shared" si="22"/>
        <v>164835.1648</v>
      </c>
      <c r="N44" s="84"/>
      <c r="O44" s="60"/>
      <c r="P44" s="154">
        <v>1.0</v>
      </c>
      <c r="Q44" s="116" t="s">
        <v>29</v>
      </c>
      <c r="R44" s="75">
        <v>1.0</v>
      </c>
      <c r="S44" s="75">
        <v>150000.0</v>
      </c>
      <c r="T44" s="75"/>
      <c r="U44" s="75"/>
      <c r="V44" s="75">
        <f t="shared" si="23"/>
        <v>150000</v>
      </c>
      <c r="W44" s="76">
        <v>0.09</v>
      </c>
      <c r="X44" s="79">
        <f t="shared" si="24"/>
        <v>164835.1648</v>
      </c>
      <c r="Y44" s="75">
        <v>0.0</v>
      </c>
      <c r="Z44" s="76">
        <v>0.09</v>
      </c>
      <c r="AA44" s="79">
        <f t="shared" si="25"/>
        <v>0</v>
      </c>
    </row>
    <row r="45" ht="15.75" customHeight="1">
      <c r="A45" s="85"/>
      <c r="B45" s="115" t="s">
        <v>66</v>
      </c>
      <c r="C45" s="42"/>
      <c r="D45" s="43"/>
      <c r="E45" s="154">
        <v>1.0</v>
      </c>
      <c r="F45" s="116" t="s">
        <v>29</v>
      </c>
      <c r="G45" s="75">
        <v>1.0</v>
      </c>
      <c r="H45" s="75">
        <v>75000.0</v>
      </c>
      <c r="I45" s="75"/>
      <c r="J45" s="75"/>
      <c r="K45" s="75">
        <f t="shared" si="21"/>
        <v>75000</v>
      </c>
      <c r="L45" s="76">
        <v>0.09</v>
      </c>
      <c r="M45" s="79">
        <f t="shared" si="22"/>
        <v>82417.58242</v>
      </c>
      <c r="N45" s="84"/>
      <c r="O45" s="60"/>
      <c r="P45" s="154">
        <v>1.0</v>
      </c>
      <c r="Q45" s="116" t="s">
        <v>29</v>
      </c>
      <c r="R45" s="75">
        <v>1.0</v>
      </c>
      <c r="S45" s="75">
        <v>75000.0</v>
      </c>
      <c r="T45" s="75"/>
      <c r="U45" s="75"/>
      <c r="V45" s="75">
        <f t="shared" si="23"/>
        <v>75000</v>
      </c>
      <c r="W45" s="76">
        <v>0.09</v>
      </c>
      <c r="X45" s="79">
        <f t="shared" si="24"/>
        <v>82417.58242</v>
      </c>
      <c r="Y45" s="75">
        <v>0.0</v>
      </c>
      <c r="Z45" s="76">
        <v>0.09</v>
      </c>
      <c r="AA45" s="79">
        <f t="shared" si="25"/>
        <v>0</v>
      </c>
    </row>
    <row r="46" ht="15.75" customHeight="1">
      <c r="A46" s="85"/>
      <c r="B46" s="115" t="s">
        <v>67</v>
      </c>
      <c r="C46" s="42"/>
      <c r="D46" s="43"/>
      <c r="E46" s="154">
        <v>1.0</v>
      </c>
      <c r="F46" s="154" t="s">
        <v>45</v>
      </c>
      <c r="G46" s="75">
        <v>1.0</v>
      </c>
      <c r="H46" s="75">
        <v>25000.0</v>
      </c>
      <c r="I46" s="75"/>
      <c r="J46" s="75"/>
      <c r="K46" s="75">
        <f t="shared" si="21"/>
        <v>25000</v>
      </c>
      <c r="L46" s="76">
        <v>0.09</v>
      </c>
      <c r="M46" s="79">
        <f t="shared" si="22"/>
        <v>27472.52747</v>
      </c>
      <c r="N46" s="84"/>
      <c r="O46" s="60"/>
      <c r="P46" s="154">
        <v>1.0</v>
      </c>
      <c r="Q46" s="154" t="s">
        <v>45</v>
      </c>
      <c r="R46" s="75">
        <v>1.0</v>
      </c>
      <c r="S46" s="75">
        <v>25000.0</v>
      </c>
      <c r="T46" s="75"/>
      <c r="U46" s="75"/>
      <c r="V46" s="75">
        <f t="shared" si="23"/>
        <v>25000</v>
      </c>
      <c r="W46" s="76">
        <v>0.09</v>
      </c>
      <c r="X46" s="79">
        <f t="shared" si="24"/>
        <v>27472.52747</v>
      </c>
      <c r="Y46" s="75">
        <v>0.0</v>
      </c>
      <c r="Z46" s="76">
        <v>0.09</v>
      </c>
      <c r="AA46" s="79">
        <f t="shared" si="25"/>
        <v>0</v>
      </c>
    </row>
    <row r="47" ht="15.75" customHeight="1">
      <c r="A47" s="85"/>
      <c r="B47" s="69" t="s">
        <v>68</v>
      </c>
      <c r="C47" s="70"/>
      <c r="D47" s="71"/>
      <c r="E47" s="155">
        <v>1.0</v>
      </c>
      <c r="F47" s="155" t="s">
        <v>45</v>
      </c>
      <c r="G47" s="156">
        <v>1.0</v>
      </c>
      <c r="H47" s="156">
        <v>7000.0</v>
      </c>
      <c r="I47" s="156"/>
      <c r="J47" s="156">
        <v>700.0</v>
      </c>
      <c r="K47" s="75">
        <f t="shared" si="21"/>
        <v>7000</v>
      </c>
      <c r="L47" s="76">
        <v>0.09</v>
      </c>
      <c r="M47" s="79">
        <f t="shared" si="22"/>
        <v>7692.307692</v>
      </c>
      <c r="N47" s="94"/>
      <c r="O47" s="60"/>
      <c r="P47" s="155">
        <v>1.0</v>
      </c>
      <c r="Q47" s="155" t="s">
        <v>45</v>
      </c>
      <c r="R47" s="156">
        <v>1.0</v>
      </c>
      <c r="S47" s="156">
        <v>7000.0</v>
      </c>
      <c r="T47" s="156"/>
      <c r="U47" s="156">
        <v>700.0</v>
      </c>
      <c r="V47" s="75">
        <f t="shared" si="23"/>
        <v>7000</v>
      </c>
      <c r="W47" s="76">
        <v>0.09</v>
      </c>
      <c r="X47" s="79">
        <f t="shared" si="24"/>
        <v>7692.307692</v>
      </c>
      <c r="Y47" s="75">
        <v>0.0</v>
      </c>
      <c r="Z47" s="76">
        <v>0.09</v>
      </c>
      <c r="AA47" s="79">
        <f t="shared" si="25"/>
        <v>0</v>
      </c>
    </row>
    <row r="48" ht="15.75" customHeight="1">
      <c r="A48" s="118"/>
      <c r="B48" s="126" t="s">
        <v>69</v>
      </c>
      <c r="C48" s="157"/>
      <c r="D48" s="158"/>
      <c r="E48" s="159"/>
      <c r="F48" s="160"/>
      <c r="G48" s="161"/>
      <c r="H48" s="161"/>
      <c r="I48" s="161"/>
      <c r="J48" s="161"/>
      <c r="K48" s="161"/>
      <c r="L48" s="161"/>
      <c r="M48" s="162"/>
      <c r="N48" s="163"/>
      <c r="O48" s="60"/>
      <c r="P48" s="123"/>
      <c r="Q48" s="123"/>
      <c r="R48" s="124"/>
      <c r="S48" s="124"/>
      <c r="T48" s="124"/>
      <c r="U48" s="124"/>
      <c r="V48" s="124"/>
      <c r="W48" s="124"/>
      <c r="X48" s="125"/>
      <c r="Y48" s="125"/>
      <c r="Z48" s="124"/>
      <c r="AA48" s="125"/>
    </row>
    <row r="49" ht="15.75" customHeight="1">
      <c r="A49" s="85"/>
      <c r="B49" s="151" t="s">
        <v>70</v>
      </c>
      <c r="C49" s="152"/>
      <c r="D49" s="153"/>
      <c r="E49" s="116">
        <v>1.0</v>
      </c>
      <c r="F49" s="116" t="s">
        <v>29</v>
      </c>
      <c r="G49" s="117">
        <v>1.0</v>
      </c>
      <c r="H49" s="117"/>
      <c r="I49" s="117"/>
      <c r="J49" s="117"/>
      <c r="K49" s="75">
        <f t="shared" ref="K49:K52" si="26">(E49*G49*H49)+(I49*J49*E49*G49)</f>
        <v>0</v>
      </c>
      <c r="L49" s="76">
        <v>0.09</v>
      </c>
      <c r="M49" s="79">
        <f t="shared" ref="M49:M52" si="27">K49/(1-L49)</f>
        <v>0</v>
      </c>
      <c r="N49" s="84"/>
      <c r="O49" s="60"/>
      <c r="P49" s="116">
        <v>1.0</v>
      </c>
      <c r="Q49" s="116" t="s">
        <v>29</v>
      </c>
      <c r="R49" s="117">
        <v>1.0</v>
      </c>
      <c r="S49" s="117"/>
      <c r="T49" s="117"/>
      <c r="U49" s="117"/>
      <c r="V49" s="75">
        <f t="shared" ref="V49:V52" si="28">(P49*R49*S49)+(T49*U49*P49*R49)</f>
        <v>0</v>
      </c>
      <c r="W49" s="76">
        <v>0.09</v>
      </c>
      <c r="X49" s="79">
        <f t="shared" ref="X49:X52" si="29">V49/(1-W49)</f>
        <v>0</v>
      </c>
      <c r="Y49" s="75">
        <v>0.0</v>
      </c>
      <c r="Z49" s="76">
        <v>0.09</v>
      </c>
      <c r="AA49" s="79">
        <f t="shared" ref="AA49:AA52" si="30">Y49/(1-Z49)</f>
        <v>0</v>
      </c>
    </row>
    <row r="50" ht="15.75" customHeight="1">
      <c r="A50" s="85"/>
      <c r="B50" s="115" t="s">
        <v>71</v>
      </c>
      <c r="C50" s="42"/>
      <c r="D50" s="43"/>
      <c r="E50" s="154">
        <v>1.0</v>
      </c>
      <c r="F50" s="116" t="s">
        <v>29</v>
      </c>
      <c r="G50" s="75">
        <v>1.0</v>
      </c>
      <c r="H50" s="75"/>
      <c r="I50" s="75"/>
      <c r="J50" s="75"/>
      <c r="K50" s="75">
        <f t="shared" si="26"/>
        <v>0</v>
      </c>
      <c r="L50" s="76">
        <v>0.09</v>
      </c>
      <c r="M50" s="79">
        <f t="shared" si="27"/>
        <v>0</v>
      </c>
      <c r="N50" s="84"/>
      <c r="O50" s="60"/>
      <c r="P50" s="154">
        <v>1.0</v>
      </c>
      <c r="Q50" s="116" t="s">
        <v>29</v>
      </c>
      <c r="R50" s="75">
        <v>1.0</v>
      </c>
      <c r="S50" s="75"/>
      <c r="T50" s="75"/>
      <c r="U50" s="75"/>
      <c r="V50" s="75">
        <f t="shared" si="28"/>
        <v>0</v>
      </c>
      <c r="W50" s="76">
        <v>0.09</v>
      </c>
      <c r="X50" s="79">
        <f t="shared" si="29"/>
        <v>0</v>
      </c>
      <c r="Y50" s="75">
        <v>0.0</v>
      </c>
      <c r="Z50" s="76">
        <v>0.09</v>
      </c>
      <c r="AA50" s="79">
        <f t="shared" si="30"/>
        <v>0</v>
      </c>
    </row>
    <row r="51" ht="15.75" customHeight="1">
      <c r="A51" s="85"/>
      <c r="B51" s="115" t="s">
        <v>72</v>
      </c>
      <c r="C51" s="42"/>
      <c r="D51" s="43"/>
      <c r="E51" s="154">
        <v>1.0</v>
      </c>
      <c r="F51" s="154" t="s">
        <v>45</v>
      </c>
      <c r="G51" s="75">
        <v>1.0</v>
      </c>
      <c r="H51" s="75"/>
      <c r="I51" s="75"/>
      <c r="J51" s="75"/>
      <c r="K51" s="75">
        <f t="shared" si="26"/>
        <v>0</v>
      </c>
      <c r="L51" s="76">
        <v>0.09</v>
      </c>
      <c r="M51" s="79">
        <f t="shared" si="27"/>
        <v>0</v>
      </c>
      <c r="N51" s="84"/>
      <c r="O51" s="60"/>
      <c r="P51" s="154">
        <v>1.0</v>
      </c>
      <c r="Q51" s="154" t="s">
        <v>45</v>
      </c>
      <c r="R51" s="75">
        <v>1.0</v>
      </c>
      <c r="S51" s="75"/>
      <c r="T51" s="75"/>
      <c r="U51" s="75"/>
      <c r="V51" s="75">
        <f t="shared" si="28"/>
        <v>0</v>
      </c>
      <c r="W51" s="76">
        <v>0.09</v>
      </c>
      <c r="X51" s="79">
        <f t="shared" si="29"/>
        <v>0</v>
      </c>
      <c r="Y51" s="75">
        <v>0.0</v>
      </c>
      <c r="Z51" s="76">
        <v>0.09</v>
      </c>
      <c r="AA51" s="79">
        <f t="shared" si="30"/>
        <v>0</v>
      </c>
    </row>
    <row r="52" ht="15.75" customHeight="1">
      <c r="A52" s="85"/>
      <c r="B52" s="69" t="s">
        <v>73</v>
      </c>
      <c r="C52" s="70"/>
      <c r="D52" s="71"/>
      <c r="E52" s="155">
        <v>1.0</v>
      </c>
      <c r="F52" s="155" t="s">
        <v>49</v>
      </c>
      <c r="G52" s="156">
        <v>1.0</v>
      </c>
      <c r="H52" s="156"/>
      <c r="I52" s="156"/>
      <c r="J52" s="156"/>
      <c r="K52" s="75">
        <f t="shared" si="26"/>
        <v>0</v>
      </c>
      <c r="L52" s="76">
        <v>0.09</v>
      </c>
      <c r="M52" s="79">
        <f t="shared" si="27"/>
        <v>0</v>
      </c>
      <c r="N52" s="84"/>
      <c r="O52" s="60"/>
      <c r="P52" s="155">
        <v>1.0</v>
      </c>
      <c r="Q52" s="155" t="s">
        <v>49</v>
      </c>
      <c r="R52" s="156">
        <v>1.0</v>
      </c>
      <c r="S52" s="156"/>
      <c r="T52" s="156"/>
      <c r="U52" s="156"/>
      <c r="V52" s="75">
        <f t="shared" si="28"/>
        <v>0</v>
      </c>
      <c r="W52" s="76">
        <v>0.09</v>
      </c>
      <c r="X52" s="79">
        <f t="shared" si="29"/>
        <v>0</v>
      </c>
      <c r="Y52" s="75">
        <v>0.0</v>
      </c>
      <c r="Z52" s="76">
        <v>0.09</v>
      </c>
      <c r="AA52" s="79">
        <f t="shared" si="30"/>
        <v>0</v>
      </c>
    </row>
    <row r="53" ht="15.75" customHeight="1">
      <c r="A53" s="118"/>
      <c r="B53" s="126" t="s">
        <v>74</v>
      </c>
      <c r="C53" s="157"/>
      <c r="D53" s="158"/>
      <c r="E53" s="159"/>
      <c r="F53" s="160"/>
      <c r="G53" s="161"/>
      <c r="H53" s="161"/>
      <c r="I53" s="161"/>
      <c r="J53" s="161"/>
      <c r="K53" s="161"/>
      <c r="L53" s="161"/>
      <c r="M53" s="162"/>
      <c r="N53" s="164"/>
      <c r="O53" s="60"/>
      <c r="P53" s="123"/>
      <c r="Q53" s="123"/>
      <c r="R53" s="124"/>
      <c r="S53" s="124"/>
      <c r="T53" s="124"/>
      <c r="U53" s="124"/>
      <c r="V53" s="124"/>
      <c r="W53" s="124"/>
      <c r="X53" s="125"/>
      <c r="Y53" s="125"/>
      <c r="Z53" s="124"/>
      <c r="AA53" s="125"/>
    </row>
    <row r="54" ht="15.75" customHeight="1">
      <c r="A54" s="85"/>
      <c r="B54" s="151" t="s">
        <v>75</v>
      </c>
      <c r="C54" s="152"/>
      <c r="D54" s="153"/>
      <c r="E54" s="116">
        <v>1.0</v>
      </c>
      <c r="F54" s="116" t="s">
        <v>45</v>
      </c>
      <c r="G54" s="117">
        <v>1.0</v>
      </c>
      <c r="H54" s="117">
        <v>200000.0</v>
      </c>
      <c r="I54" s="117"/>
      <c r="J54" s="117">
        <v>20000.0</v>
      </c>
      <c r="K54" s="75">
        <f t="shared" ref="K54:K90" si="31">(E54*G54*H54)+(I54*J54*E54*G54)</f>
        <v>200000</v>
      </c>
      <c r="L54" s="76">
        <v>0.09</v>
      </c>
      <c r="M54" s="79">
        <f t="shared" ref="M54:M90" si="32">K54/(1-L54)</f>
        <v>219780.2198</v>
      </c>
      <c r="N54" s="84"/>
      <c r="O54" s="60"/>
      <c r="P54" s="116">
        <v>1.0</v>
      </c>
      <c r="Q54" s="116" t="s">
        <v>45</v>
      </c>
      <c r="R54" s="117">
        <v>1.0</v>
      </c>
      <c r="S54" s="117">
        <v>200000.0</v>
      </c>
      <c r="T54" s="117"/>
      <c r="U54" s="117">
        <v>20000.0</v>
      </c>
      <c r="V54" s="75">
        <f t="shared" ref="V54:V90" si="33">(P54*R54*S54)+(T54*U54*P54*R54)</f>
        <v>200000</v>
      </c>
      <c r="W54" s="76">
        <v>0.09</v>
      </c>
      <c r="X54" s="79">
        <f t="shared" ref="X54:X90" si="34">V54/(1-W54)</f>
        <v>219780.2198</v>
      </c>
      <c r="Y54" s="75">
        <v>0.0</v>
      </c>
      <c r="Z54" s="76">
        <v>0.09</v>
      </c>
      <c r="AA54" s="79">
        <f t="shared" ref="AA54:AA90" si="35">Y54/(1-Z54)</f>
        <v>0</v>
      </c>
    </row>
    <row r="55" ht="15.75" customHeight="1">
      <c r="A55" s="85"/>
      <c r="B55" s="151" t="s">
        <v>76</v>
      </c>
      <c r="C55" s="152"/>
      <c r="D55" s="153"/>
      <c r="E55" s="116">
        <v>1.0</v>
      </c>
      <c r="F55" s="116" t="s">
        <v>49</v>
      </c>
      <c r="G55" s="117">
        <v>1.0</v>
      </c>
      <c r="H55" s="117"/>
      <c r="I55" s="117"/>
      <c r="J55" s="117">
        <v>40000.0</v>
      </c>
      <c r="K55" s="75">
        <f t="shared" si="31"/>
        <v>0</v>
      </c>
      <c r="L55" s="76">
        <v>0.09</v>
      </c>
      <c r="M55" s="79">
        <f t="shared" si="32"/>
        <v>0</v>
      </c>
      <c r="N55" s="84"/>
      <c r="O55" s="60"/>
      <c r="P55" s="116">
        <v>1.0</v>
      </c>
      <c r="Q55" s="116" t="s">
        <v>49</v>
      </c>
      <c r="R55" s="117">
        <v>1.0</v>
      </c>
      <c r="S55" s="117"/>
      <c r="T55" s="117"/>
      <c r="U55" s="117">
        <v>40000.0</v>
      </c>
      <c r="V55" s="75">
        <f t="shared" si="33"/>
        <v>0</v>
      </c>
      <c r="W55" s="76">
        <v>0.09</v>
      </c>
      <c r="X55" s="79">
        <f t="shared" si="34"/>
        <v>0</v>
      </c>
      <c r="Y55" s="75">
        <v>0.0</v>
      </c>
      <c r="Z55" s="76">
        <v>0.09</v>
      </c>
      <c r="AA55" s="79">
        <f t="shared" si="35"/>
        <v>0</v>
      </c>
    </row>
    <row r="56" ht="15.75" customHeight="1">
      <c r="A56" s="85"/>
      <c r="B56" s="151" t="s">
        <v>77</v>
      </c>
      <c r="C56" s="152"/>
      <c r="D56" s="153"/>
      <c r="E56" s="116">
        <v>1.0</v>
      </c>
      <c r="F56" s="116" t="s">
        <v>49</v>
      </c>
      <c r="G56" s="117">
        <v>1.0</v>
      </c>
      <c r="H56" s="117"/>
      <c r="I56" s="117"/>
      <c r="J56" s="117">
        <v>80000.0</v>
      </c>
      <c r="K56" s="75">
        <f t="shared" si="31"/>
        <v>0</v>
      </c>
      <c r="L56" s="76">
        <v>0.09</v>
      </c>
      <c r="M56" s="79">
        <f t="shared" si="32"/>
        <v>0</v>
      </c>
      <c r="N56" s="84"/>
      <c r="O56" s="60"/>
      <c r="P56" s="116">
        <v>1.0</v>
      </c>
      <c r="Q56" s="116" t="s">
        <v>49</v>
      </c>
      <c r="R56" s="117">
        <v>1.0</v>
      </c>
      <c r="S56" s="117"/>
      <c r="T56" s="117"/>
      <c r="U56" s="117">
        <v>80000.0</v>
      </c>
      <c r="V56" s="75">
        <f t="shared" si="33"/>
        <v>0</v>
      </c>
      <c r="W56" s="76">
        <v>0.09</v>
      </c>
      <c r="X56" s="79">
        <f t="shared" si="34"/>
        <v>0</v>
      </c>
      <c r="Y56" s="75">
        <v>0.0</v>
      </c>
      <c r="Z56" s="76">
        <v>0.09</v>
      </c>
      <c r="AA56" s="79">
        <f t="shared" si="35"/>
        <v>0</v>
      </c>
    </row>
    <row r="57" ht="15.75" customHeight="1">
      <c r="A57" s="85"/>
      <c r="B57" s="165" t="s">
        <v>78</v>
      </c>
      <c r="C57" s="6"/>
      <c r="D57" s="166"/>
      <c r="E57" s="154">
        <v>1.0</v>
      </c>
      <c r="F57" s="116" t="s">
        <v>45</v>
      </c>
      <c r="G57" s="75">
        <v>1.0</v>
      </c>
      <c r="H57" s="75">
        <v>34000.0</v>
      </c>
      <c r="I57" s="75"/>
      <c r="J57" s="75">
        <v>5000.0</v>
      </c>
      <c r="K57" s="75">
        <f t="shared" si="31"/>
        <v>34000</v>
      </c>
      <c r="L57" s="76">
        <v>0.09</v>
      </c>
      <c r="M57" s="79">
        <f t="shared" si="32"/>
        <v>37362.63736</v>
      </c>
      <c r="N57" s="84"/>
      <c r="O57" s="60"/>
      <c r="P57" s="154">
        <v>1.0</v>
      </c>
      <c r="Q57" s="116" t="s">
        <v>45</v>
      </c>
      <c r="R57" s="75">
        <v>1.0</v>
      </c>
      <c r="S57" s="75">
        <v>34000.0</v>
      </c>
      <c r="T57" s="75"/>
      <c r="U57" s="75">
        <v>5000.0</v>
      </c>
      <c r="V57" s="75">
        <f t="shared" si="33"/>
        <v>34000</v>
      </c>
      <c r="W57" s="76">
        <v>0.09</v>
      </c>
      <c r="X57" s="79">
        <f t="shared" si="34"/>
        <v>37362.63736</v>
      </c>
      <c r="Y57" s="75">
        <v>0.0</v>
      </c>
      <c r="Z57" s="76">
        <v>0.09</v>
      </c>
      <c r="AA57" s="79">
        <f t="shared" si="35"/>
        <v>0</v>
      </c>
    </row>
    <row r="58" ht="15.75" customHeight="1">
      <c r="A58" s="80"/>
      <c r="B58" s="151" t="s">
        <v>76</v>
      </c>
      <c r="C58" s="152"/>
      <c r="D58" s="153"/>
      <c r="E58" s="116">
        <v>1.0</v>
      </c>
      <c r="F58" s="116" t="s">
        <v>49</v>
      </c>
      <c r="G58" s="117">
        <v>1.0</v>
      </c>
      <c r="H58" s="117"/>
      <c r="I58" s="117"/>
      <c r="J58" s="117">
        <v>10000.0</v>
      </c>
      <c r="K58" s="75">
        <f t="shared" si="31"/>
        <v>0</v>
      </c>
      <c r="L58" s="76">
        <v>0.09</v>
      </c>
      <c r="M58" s="79">
        <f t="shared" si="32"/>
        <v>0</v>
      </c>
      <c r="N58" s="84"/>
      <c r="O58" s="60"/>
      <c r="P58" s="116">
        <v>1.0</v>
      </c>
      <c r="Q58" s="116" t="s">
        <v>49</v>
      </c>
      <c r="R58" s="117">
        <v>1.0</v>
      </c>
      <c r="S58" s="117"/>
      <c r="T58" s="117"/>
      <c r="U58" s="117">
        <v>10000.0</v>
      </c>
      <c r="V58" s="75">
        <f t="shared" si="33"/>
        <v>0</v>
      </c>
      <c r="W58" s="76">
        <v>0.09</v>
      </c>
      <c r="X58" s="79">
        <f t="shared" si="34"/>
        <v>0</v>
      </c>
      <c r="Y58" s="75">
        <v>0.0</v>
      </c>
      <c r="Z58" s="76">
        <v>0.09</v>
      </c>
      <c r="AA58" s="79">
        <f t="shared" si="35"/>
        <v>0</v>
      </c>
    </row>
    <row r="59" ht="15.75" customHeight="1">
      <c r="A59" s="80"/>
      <c r="B59" s="151" t="s">
        <v>77</v>
      </c>
      <c r="C59" s="152"/>
      <c r="D59" s="153"/>
      <c r="E59" s="116">
        <v>1.0</v>
      </c>
      <c r="F59" s="116" t="s">
        <v>49</v>
      </c>
      <c r="G59" s="117">
        <v>1.0</v>
      </c>
      <c r="H59" s="117"/>
      <c r="I59" s="117"/>
      <c r="J59" s="117">
        <v>20000.0</v>
      </c>
      <c r="K59" s="75">
        <f t="shared" si="31"/>
        <v>0</v>
      </c>
      <c r="L59" s="76">
        <v>0.09</v>
      </c>
      <c r="M59" s="79">
        <f t="shared" si="32"/>
        <v>0</v>
      </c>
      <c r="N59" s="84"/>
      <c r="O59" s="60"/>
      <c r="P59" s="116">
        <v>1.0</v>
      </c>
      <c r="Q59" s="116" t="s">
        <v>49</v>
      </c>
      <c r="R59" s="117">
        <v>1.0</v>
      </c>
      <c r="S59" s="117"/>
      <c r="T59" s="117"/>
      <c r="U59" s="117">
        <v>20000.0</v>
      </c>
      <c r="V59" s="75">
        <f t="shared" si="33"/>
        <v>0</v>
      </c>
      <c r="W59" s="76">
        <v>0.09</v>
      </c>
      <c r="X59" s="79">
        <f t="shared" si="34"/>
        <v>0</v>
      </c>
      <c r="Y59" s="75">
        <v>0.0</v>
      </c>
      <c r="Z59" s="76">
        <v>0.09</v>
      </c>
      <c r="AA59" s="79">
        <f t="shared" si="35"/>
        <v>0</v>
      </c>
    </row>
    <row r="60" ht="15.75" customHeight="1">
      <c r="A60" s="85"/>
      <c r="B60" s="165" t="s">
        <v>79</v>
      </c>
      <c r="C60" s="6"/>
      <c r="D60" s="166"/>
      <c r="E60" s="154">
        <v>1.0</v>
      </c>
      <c r="F60" s="116" t="s">
        <v>45</v>
      </c>
      <c r="G60" s="75">
        <v>2.0</v>
      </c>
      <c r="H60" s="75">
        <v>18000.0</v>
      </c>
      <c r="I60" s="75"/>
      <c r="J60" s="75">
        <v>3500.0</v>
      </c>
      <c r="K60" s="75">
        <f t="shared" si="31"/>
        <v>36000</v>
      </c>
      <c r="L60" s="76">
        <v>0.09</v>
      </c>
      <c r="M60" s="79">
        <f t="shared" si="32"/>
        <v>39560.43956</v>
      </c>
      <c r="N60" s="84"/>
      <c r="O60" s="60"/>
      <c r="P60" s="154">
        <v>1.0</v>
      </c>
      <c r="Q60" s="116" t="s">
        <v>45</v>
      </c>
      <c r="R60" s="75">
        <v>2.0</v>
      </c>
      <c r="S60" s="75">
        <v>18000.0</v>
      </c>
      <c r="T60" s="75"/>
      <c r="U60" s="75">
        <v>3500.0</v>
      </c>
      <c r="V60" s="75">
        <f t="shared" si="33"/>
        <v>36000</v>
      </c>
      <c r="W60" s="76">
        <v>0.09</v>
      </c>
      <c r="X60" s="79">
        <f t="shared" si="34"/>
        <v>39560.43956</v>
      </c>
      <c r="Y60" s="75">
        <v>0.0</v>
      </c>
      <c r="Z60" s="76">
        <v>0.09</v>
      </c>
      <c r="AA60" s="79">
        <f t="shared" si="35"/>
        <v>0</v>
      </c>
    </row>
    <row r="61" ht="15.75" customHeight="1">
      <c r="A61" s="80"/>
      <c r="B61" s="151" t="s">
        <v>76</v>
      </c>
      <c r="C61" s="152"/>
      <c r="D61" s="153"/>
      <c r="E61" s="154">
        <v>1.0</v>
      </c>
      <c r="F61" s="116" t="s">
        <v>49</v>
      </c>
      <c r="G61" s="75">
        <v>1.0</v>
      </c>
      <c r="H61" s="75"/>
      <c r="I61" s="75"/>
      <c r="J61" s="75">
        <v>7000.0</v>
      </c>
      <c r="K61" s="75">
        <f t="shared" si="31"/>
        <v>0</v>
      </c>
      <c r="L61" s="76">
        <v>0.09</v>
      </c>
      <c r="M61" s="79">
        <f t="shared" si="32"/>
        <v>0</v>
      </c>
      <c r="N61" s="84"/>
      <c r="O61" s="60"/>
      <c r="P61" s="154">
        <v>1.0</v>
      </c>
      <c r="Q61" s="116" t="s">
        <v>49</v>
      </c>
      <c r="R61" s="75">
        <v>1.0</v>
      </c>
      <c r="S61" s="75"/>
      <c r="T61" s="75"/>
      <c r="U61" s="75">
        <v>7000.0</v>
      </c>
      <c r="V61" s="75">
        <f t="shared" si="33"/>
        <v>0</v>
      </c>
      <c r="W61" s="76">
        <v>0.09</v>
      </c>
      <c r="X61" s="79">
        <f t="shared" si="34"/>
        <v>0</v>
      </c>
      <c r="Y61" s="75">
        <v>0.0</v>
      </c>
      <c r="Z61" s="76">
        <v>0.09</v>
      </c>
      <c r="AA61" s="79">
        <f t="shared" si="35"/>
        <v>0</v>
      </c>
    </row>
    <row r="62" ht="15.75" customHeight="1">
      <c r="A62" s="80"/>
      <c r="B62" s="151" t="s">
        <v>77</v>
      </c>
      <c r="C62" s="152"/>
      <c r="D62" s="153"/>
      <c r="E62" s="154">
        <v>1.0</v>
      </c>
      <c r="F62" s="116" t="s">
        <v>49</v>
      </c>
      <c r="G62" s="75">
        <v>1.0</v>
      </c>
      <c r="H62" s="75"/>
      <c r="I62" s="75"/>
      <c r="J62" s="75">
        <v>14000.0</v>
      </c>
      <c r="K62" s="75">
        <f t="shared" si="31"/>
        <v>0</v>
      </c>
      <c r="L62" s="76">
        <v>0.09</v>
      </c>
      <c r="M62" s="79">
        <f t="shared" si="32"/>
        <v>0</v>
      </c>
      <c r="N62" s="84"/>
      <c r="O62" s="60"/>
      <c r="P62" s="154">
        <v>1.0</v>
      </c>
      <c r="Q62" s="116" t="s">
        <v>49</v>
      </c>
      <c r="R62" s="75">
        <v>1.0</v>
      </c>
      <c r="S62" s="75"/>
      <c r="T62" s="75"/>
      <c r="U62" s="75">
        <v>14000.0</v>
      </c>
      <c r="V62" s="75">
        <f t="shared" si="33"/>
        <v>0</v>
      </c>
      <c r="W62" s="76">
        <v>0.09</v>
      </c>
      <c r="X62" s="79">
        <f t="shared" si="34"/>
        <v>0</v>
      </c>
      <c r="Y62" s="75">
        <v>0.0</v>
      </c>
      <c r="Z62" s="76">
        <v>0.09</v>
      </c>
      <c r="AA62" s="79">
        <f t="shared" si="35"/>
        <v>0</v>
      </c>
    </row>
    <row r="63" ht="15.75" customHeight="1">
      <c r="A63" s="85"/>
      <c r="B63" s="167" t="s">
        <v>80</v>
      </c>
      <c r="C63" s="168"/>
      <c r="D63" s="36"/>
      <c r="E63" s="154">
        <v>1.0</v>
      </c>
      <c r="F63" s="154" t="s">
        <v>45</v>
      </c>
      <c r="G63" s="75">
        <v>1.0</v>
      </c>
      <c r="H63" s="75">
        <v>14000.0</v>
      </c>
      <c r="I63" s="75"/>
      <c r="J63" s="75"/>
      <c r="K63" s="75">
        <f t="shared" si="31"/>
        <v>14000</v>
      </c>
      <c r="L63" s="76">
        <v>0.09</v>
      </c>
      <c r="M63" s="79">
        <f t="shared" si="32"/>
        <v>15384.61538</v>
      </c>
      <c r="N63" s="84"/>
      <c r="O63" s="60"/>
      <c r="P63" s="154">
        <v>1.0</v>
      </c>
      <c r="Q63" s="154" t="s">
        <v>45</v>
      </c>
      <c r="R63" s="75">
        <v>1.0</v>
      </c>
      <c r="S63" s="75">
        <v>14000.0</v>
      </c>
      <c r="T63" s="75"/>
      <c r="U63" s="75"/>
      <c r="V63" s="75">
        <f t="shared" si="33"/>
        <v>14000</v>
      </c>
      <c r="W63" s="76">
        <v>0.09</v>
      </c>
      <c r="X63" s="79">
        <f t="shared" si="34"/>
        <v>15384.61538</v>
      </c>
      <c r="Y63" s="75">
        <v>0.0</v>
      </c>
      <c r="Z63" s="76">
        <v>0.09</v>
      </c>
      <c r="AA63" s="79">
        <f t="shared" si="35"/>
        <v>0</v>
      </c>
    </row>
    <row r="64" ht="15.75" customHeight="1">
      <c r="A64" s="85"/>
      <c r="B64" s="151" t="s">
        <v>81</v>
      </c>
      <c r="C64" s="152"/>
      <c r="D64" s="153"/>
      <c r="E64" s="154">
        <v>1.0</v>
      </c>
      <c r="F64" s="154" t="s">
        <v>45</v>
      </c>
      <c r="G64" s="75">
        <v>1.0</v>
      </c>
      <c r="H64" s="75">
        <v>3000.0</v>
      </c>
      <c r="I64" s="75"/>
      <c r="J64" s="75"/>
      <c r="K64" s="75">
        <f t="shared" si="31"/>
        <v>3000</v>
      </c>
      <c r="L64" s="76">
        <v>0.09</v>
      </c>
      <c r="M64" s="79">
        <f t="shared" si="32"/>
        <v>3296.703297</v>
      </c>
      <c r="N64" s="84"/>
      <c r="O64" s="60"/>
      <c r="P64" s="154">
        <v>1.0</v>
      </c>
      <c r="Q64" s="154" t="s">
        <v>45</v>
      </c>
      <c r="R64" s="75">
        <v>1.0</v>
      </c>
      <c r="S64" s="75">
        <v>3000.0</v>
      </c>
      <c r="T64" s="75"/>
      <c r="U64" s="75"/>
      <c r="V64" s="75">
        <f t="shared" si="33"/>
        <v>3000</v>
      </c>
      <c r="W64" s="76">
        <v>0.09</v>
      </c>
      <c r="X64" s="79">
        <f t="shared" si="34"/>
        <v>3296.703297</v>
      </c>
      <c r="Y64" s="75">
        <v>0.0</v>
      </c>
      <c r="Z64" s="76">
        <v>0.09</v>
      </c>
      <c r="AA64" s="79">
        <f t="shared" si="35"/>
        <v>0</v>
      </c>
    </row>
    <row r="65" ht="15.75" customHeight="1">
      <c r="A65" s="85"/>
      <c r="B65" s="115" t="s">
        <v>82</v>
      </c>
      <c r="C65" s="42"/>
      <c r="D65" s="43"/>
      <c r="E65" s="154">
        <v>1.0</v>
      </c>
      <c r="F65" s="154" t="s">
        <v>45</v>
      </c>
      <c r="G65" s="75">
        <v>1.0</v>
      </c>
      <c r="H65" s="75">
        <v>20000.0</v>
      </c>
      <c r="I65" s="75"/>
      <c r="J65" s="75"/>
      <c r="K65" s="75">
        <f t="shared" si="31"/>
        <v>20000</v>
      </c>
      <c r="L65" s="76">
        <v>0.09</v>
      </c>
      <c r="M65" s="79">
        <f t="shared" si="32"/>
        <v>21978.02198</v>
      </c>
      <c r="N65" s="84"/>
      <c r="O65" s="60"/>
      <c r="P65" s="154">
        <v>1.0</v>
      </c>
      <c r="Q65" s="154" t="s">
        <v>45</v>
      </c>
      <c r="R65" s="75">
        <v>1.0</v>
      </c>
      <c r="S65" s="75">
        <v>20000.0</v>
      </c>
      <c r="T65" s="75"/>
      <c r="U65" s="75"/>
      <c r="V65" s="75">
        <f t="shared" si="33"/>
        <v>20000</v>
      </c>
      <c r="W65" s="76">
        <v>0.09</v>
      </c>
      <c r="X65" s="79">
        <f t="shared" si="34"/>
        <v>21978.02198</v>
      </c>
      <c r="Y65" s="75">
        <v>0.0</v>
      </c>
      <c r="Z65" s="76">
        <v>0.09</v>
      </c>
      <c r="AA65" s="79">
        <f t="shared" si="35"/>
        <v>0</v>
      </c>
    </row>
    <row r="66" ht="15.75" customHeight="1">
      <c r="A66" s="85"/>
      <c r="B66" s="165" t="s">
        <v>83</v>
      </c>
      <c r="C66" s="6"/>
      <c r="D66" s="166"/>
      <c r="E66" s="154">
        <v>1.0</v>
      </c>
      <c r="F66" s="116" t="s">
        <v>45</v>
      </c>
      <c r="G66" s="75">
        <v>1.0</v>
      </c>
      <c r="H66" s="75">
        <v>20000.0</v>
      </c>
      <c r="I66" s="75"/>
      <c r="J66" s="75">
        <v>4000.0</v>
      </c>
      <c r="K66" s="75">
        <f t="shared" si="31"/>
        <v>20000</v>
      </c>
      <c r="L66" s="76">
        <v>0.09</v>
      </c>
      <c r="M66" s="79">
        <f t="shared" si="32"/>
        <v>21978.02198</v>
      </c>
      <c r="N66" s="84"/>
      <c r="O66" s="60"/>
      <c r="P66" s="154">
        <v>1.0</v>
      </c>
      <c r="Q66" s="116" t="s">
        <v>45</v>
      </c>
      <c r="R66" s="75">
        <v>1.0</v>
      </c>
      <c r="S66" s="75">
        <v>20000.0</v>
      </c>
      <c r="T66" s="75"/>
      <c r="U66" s="75">
        <v>4000.0</v>
      </c>
      <c r="V66" s="75">
        <f t="shared" si="33"/>
        <v>20000</v>
      </c>
      <c r="W66" s="76">
        <v>0.09</v>
      </c>
      <c r="X66" s="79">
        <f t="shared" si="34"/>
        <v>21978.02198</v>
      </c>
      <c r="Y66" s="75">
        <v>0.0</v>
      </c>
      <c r="Z66" s="76">
        <v>0.09</v>
      </c>
      <c r="AA66" s="79">
        <f t="shared" si="35"/>
        <v>0</v>
      </c>
    </row>
    <row r="67" ht="15.75" customHeight="1">
      <c r="A67" s="80"/>
      <c r="B67" s="151" t="s">
        <v>76</v>
      </c>
      <c r="C67" s="152"/>
      <c r="D67" s="153"/>
      <c r="E67" s="116">
        <v>1.0</v>
      </c>
      <c r="F67" s="116" t="s">
        <v>49</v>
      </c>
      <c r="G67" s="117">
        <v>1.0</v>
      </c>
      <c r="H67" s="117"/>
      <c r="I67" s="117"/>
      <c r="J67" s="117">
        <v>8000.0</v>
      </c>
      <c r="K67" s="75">
        <f t="shared" si="31"/>
        <v>0</v>
      </c>
      <c r="L67" s="76">
        <v>0.09</v>
      </c>
      <c r="M67" s="79">
        <f t="shared" si="32"/>
        <v>0</v>
      </c>
      <c r="N67" s="84"/>
      <c r="O67" s="60"/>
      <c r="P67" s="116">
        <v>1.0</v>
      </c>
      <c r="Q67" s="116" t="s">
        <v>49</v>
      </c>
      <c r="R67" s="117">
        <v>1.0</v>
      </c>
      <c r="S67" s="117"/>
      <c r="T67" s="117"/>
      <c r="U67" s="117">
        <v>8000.0</v>
      </c>
      <c r="V67" s="75">
        <f t="shared" si="33"/>
        <v>0</v>
      </c>
      <c r="W67" s="76">
        <v>0.09</v>
      </c>
      <c r="X67" s="79">
        <f t="shared" si="34"/>
        <v>0</v>
      </c>
      <c r="Y67" s="75">
        <v>0.0</v>
      </c>
      <c r="Z67" s="76">
        <v>0.09</v>
      </c>
      <c r="AA67" s="79">
        <f t="shared" si="35"/>
        <v>0</v>
      </c>
    </row>
    <row r="68" ht="15.75" customHeight="1">
      <c r="A68" s="80"/>
      <c r="B68" s="151" t="s">
        <v>77</v>
      </c>
      <c r="C68" s="152"/>
      <c r="D68" s="153"/>
      <c r="E68" s="116">
        <v>1.0</v>
      </c>
      <c r="F68" s="116" t="s">
        <v>49</v>
      </c>
      <c r="G68" s="117">
        <v>1.0</v>
      </c>
      <c r="H68" s="117"/>
      <c r="I68" s="117"/>
      <c r="J68" s="117">
        <v>16000.0</v>
      </c>
      <c r="K68" s="75">
        <f t="shared" si="31"/>
        <v>0</v>
      </c>
      <c r="L68" s="76">
        <v>0.09</v>
      </c>
      <c r="M68" s="79">
        <f t="shared" si="32"/>
        <v>0</v>
      </c>
      <c r="N68" s="84"/>
      <c r="O68" s="60"/>
      <c r="P68" s="116">
        <v>1.0</v>
      </c>
      <c r="Q68" s="116" t="s">
        <v>49</v>
      </c>
      <c r="R68" s="117">
        <v>1.0</v>
      </c>
      <c r="S68" s="117"/>
      <c r="T68" s="117"/>
      <c r="U68" s="117">
        <v>16000.0</v>
      </c>
      <c r="V68" s="75">
        <f t="shared" si="33"/>
        <v>0</v>
      </c>
      <c r="W68" s="76">
        <v>0.09</v>
      </c>
      <c r="X68" s="79">
        <f t="shared" si="34"/>
        <v>0</v>
      </c>
      <c r="Y68" s="75">
        <v>0.0</v>
      </c>
      <c r="Z68" s="76">
        <v>0.09</v>
      </c>
      <c r="AA68" s="79">
        <f t="shared" si="35"/>
        <v>0</v>
      </c>
    </row>
    <row r="69" ht="15.75" customHeight="1">
      <c r="A69" s="85"/>
      <c r="B69" s="165" t="s">
        <v>84</v>
      </c>
      <c r="C69" s="6"/>
      <c r="D69" s="166"/>
      <c r="E69" s="116">
        <v>1.0</v>
      </c>
      <c r="F69" s="116" t="s">
        <v>45</v>
      </c>
      <c r="G69" s="117">
        <v>1.0</v>
      </c>
      <c r="H69" s="75">
        <v>14000.0</v>
      </c>
      <c r="I69" s="75"/>
      <c r="J69" s="75">
        <v>3200.0</v>
      </c>
      <c r="K69" s="75">
        <f t="shared" si="31"/>
        <v>14000</v>
      </c>
      <c r="L69" s="76">
        <v>0.09</v>
      </c>
      <c r="M69" s="79">
        <f t="shared" si="32"/>
        <v>15384.61538</v>
      </c>
      <c r="N69" s="84"/>
      <c r="O69" s="60"/>
      <c r="P69" s="116">
        <v>1.0</v>
      </c>
      <c r="Q69" s="116" t="s">
        <v>45</v>
      </c>
      <c r="R69" s="117">
        <v>1.0</v>
      </c>
      <c r="S69" s="75">
        <v>14000.0</v>
      </c>
      <c r="T69" s="75"/>
      <c r="U69" s="75">
        <v>3200.0</v>
      </c>
      <c r="V69" s="75">
        <f t="shared" si="33"/>
        <v>14000</v>
      </c>
      <c r="W69" s="76">
        <v>0.09</v>
      </c>
      <c r="X69" s="79">
        <f t="shared" si="34"/>
        <v>15384.61538</v>
      </c>
      <c r="Y69" s="75">
        <v>0.0</v>
      </c>
      <c r="Z69" s="76">
        <v>0.09</v>
      </c>
      <c r="AA69" s="79">
        <f t="shared" si="35"/>
        <v>0</v>
      </c>
    </row>
    <row r="70" ht="15.75" customHeight="1">
      <c r="A70" s="80"/>
      <c r="B70" s="151" t="s">
        <v>76</v>
      </c>
      <c r="C70" s="152"/>
      <c r="D70" s="153"/>
      <c r="E70" s="116">
        <v>1.0</v>
      </c>
      <c r="F70" s="116" t="s">
        <v>49</v>
      </c>
      <c r="G70" s="117">
        <v>1.0</v>
      </c>
      <c r="H70" s="117"/>
      <c r="I70" s="117"/>
      <c r="J70" s="117">
        <v>6400.0</v>
      </c>
      <c r="K70" s="75">
        <f t="shared" si="31"/>
        <v>0</v>
      </c>
      <c r="L70" s="76">
        <v>0.09</v>
      </c>
      <c r="M70" s="79">
        <f t="shared" si="32"/>
        <v>0</v>
      </c>
      <c r="N70" s="84"/>
      <c r="O70" s="60"/>
      <c r="P70" s="116">
        <v>1.0</v>
      </c>
      <c r="Q70" s="116" t="s">
        <v>49</v>
      </c>
      <c r="R70" s="117">
        <v>1.0</v>
      </c>
      <c r="S70" s="117"/>
      <c r="T70" s="117"/>
      <c r="U70" s="117">
        <v>6400.0</v>
      </c>
      <c r="V70" s="75">
        <f t="shared" si="33"/>
        <v>0</v>
      </c>
      <c r="W70" s="76">
        <v>0.09</v>
      </c>
      <c r="X70" s="79">
        <f t="shared" si="34"/>
        <v>0</v>
      </c>
      <c r="Y70" s="75">
        <v>0.0</v>
      </c>
      <c r="Z70" s="76">
        <v>0.09</v>
      </c>
      <c r="AA70" s="79">
        <f t="shared" si="35"/>
        <v>0</v>
      </c>
    </row>
    <row r="71" ht="15.75" customHeight="1">
      <c r="A71" s="80"/>
      <c r="B71" s="151" t="s">
        <v>77</v>
      </c>
      <c r="C71" s="152"/>
      <c r="D71" s="153"/>
      <c r="E71" s="116">
        <v>1.0</v>
      </c>
      <c r="F71" s="116" t="s">
        <v>49</v>
      </c>
      <c r="G71" s="117">
        <v>1.0</v>
      </c>
      <c r="H71" s="117"/>
      <c r="I71" s="117"/>
      <c r="J71" s="117">
        <v>12800.0</v>
      </c>
      <c r="K71" s="75">
        <f t="shared" si="31"/>
        <v>0</v>
      </c>
      <c r="L71" s="76">
        <v>0.09</v>
      </c>
      <c r="M71" s="79">
        <f t="shared" si="32"/>
        <v>0</v>
      </c>
      <c r="N71" s="84"/>
      <c r="O71" s="60"/>
      <c r="P71" s="116">
        <v>1.0</v>
      </c>
      <c r="Q71" s="116" t="s">
        <v>49</v>
      </c>
      <c r="R71" s="117">
        <v>1.0</v>
      </c>
      <c r="S71" s="117"/>
      <c r="T71" s="117"/>
      <c r="U71" s="117">
        <v>12800.0</v>
      </c>
      <c r="V71" s="75">
        <f t="shared" si="33"/>
        <v>0</v>
      </c>
      <c r="W71" s="76">
        <v>0.09</v>
      </c>
      <c r="X71" s="79">
        <f t="shared" si="34"/>
        <v>0</v>
      </c>
      <c r="Y71" s="75">
        <v>0.0</v>
      </c>
      <c r="Z71" s="76">
        <v>0.09</v>
      </c>
      <c r="AA71" s="79">
        <f t="shared" si="35"/>
        <v>0</v>
      </c>
    </row>
    <row r="72" ht="15.75" customHeight="1">
      <c r="A72" s="85"/>
      <c r="B72" s="169" t="s">
        <v>85</v>
      </c>
      <c r="D72" s="34"/>
      <c r="E72" s="116">
        <v>1.0</v>
      </c>
      <c r="F72" s="116" t="s">
        <v>45</v>
      </c>
      <c r="G72" s="117">
        <v>1.0</v>
      </c>
      <c r="H72" s="75">
        <v>14000.0</v>
      </c>
      <c r="I72" s="75"/>
      <c r="J72" s="75">
        <v>3200.0</v>
      </c>
      <c r="K72" s="75">
        <f t="shared" si="31"/>
        <v>14000</v>
      </c>
      <c r="L72" s="76">
        <v>0.09</v>
      </c>
      <c r="M72" s="79">
        <f t="shared" si="32"/>
        <v>15384.61538</v>
      </c>
      <c r="N72" s="84"/>
      <c r="O72" s="60"/>
      <c r="P72" s="116">
        <v>1.0</v>
      </c>
      <c r="Q72" s="116" t="s">
        <v>45</v>
      </c>
      <c r="R72" s="117">
        <v>1.0</v>
      </c>
      <c r="S72" s="75">
        <v>14000.0</v>
      </c>
      <c r="T72" s="75"/>
      <c r="U72" s="75">
        <v>3200.0</v>
      </c>
      <c r="V72" s="75">
        <f t="shared" si="33"/>
        <v>14000</v>
      </c>
      <c r="W72" s="76">
        <v>0.09</v>
      </c>
      <c r="X72" s="79">
        <f t="shared" si="34"/>
        <v>15384.61538</v>
      </c>
      <c r="Y72" s="75">
        <v>0.0</v>
      </c>
      <c r="Z72" s="76">
        <v>0.09</v>
      </c>
      <c r="AA72" s="79">
        <f t="shared" si="35"/>
        <v>0</v>
      </c>
    </row>
    <row r="73" ht="15.75" customHeight="1">
      <c r="A73" s="80"/>
      <c r="B73" s="151" t="s">
        <v>76</v>
      </c>
      <c r="C73" s="152"/>
      <c r="D73" s="153"/>
      <c r="E73" s="116">
        <v>1.0</v>
      </c>
      <c r="F73" s="116" t="s">
        <v>49</v>
      </c>
      <c r="G73" s="117">
        <v>1.0</v>
      </c>
      <c r="H73" s="117"/>
      <c r="I73" s="117"/>
      <c r="J73" s="117">
        <v>6400.0</v>
      </c>
      <c r="K73" s="75">
        <f t="shared" si="31"/>
        <v>0</v>
      </c>
      <c r="L73" s="76">
        <v>0.09</v>
      </c>
      <c r="M73" s="79">
        <f t="shared" si="32"/>
        <v>0</v>
      </c>
      <c r="N73" s="84"/>
      <c r="O73" s="60"/>
      <c r="P73" s="116">
        <v>1.0</v>
      </c>
      <c r="Q73" s="116" t="s">
        <v>49</v>
      </c>
      <c r="R73" s="117">
        <v>1.0</v>
      </c>
      <c r="S73" s="117"/>
      <c r="T73" s="117"/>
      <c r="U73" s="117">
        <v>6400.0</v>
      </c>
      <c r="V73" s="75">
        <f t="shared" si="33"/>
        <v>0</v>
      </c>
      <c r="W73" s="76">
        <v>0.09</v>
      </c>
      <c r="X73" s="79">
        <f t="shared" si="34"/>
        <v>0</v>
      </c>
      <c r="Y73" s="75">
        <v>0.0</v>
      </c>
      <c r="Z73" s="76">
        <v>0.09</v>
      </c>
      <c r="AA73" s="79">
        <f t="shared" si="35"/>
        <v>0</v>
      </c>
    </row>
    <row r="74" ht="15.75" customHeight="1">
      <c r="A74" s="80"/>
      <c r="B74" s="151" t="s">
        <v>77</v>
      </c>
      <c r="C74" s="152"/>
      <c r="D74" s="153"/>
      <c r="E74" s="116">
        <v>1.0</v>
      </c>
      <c r="F74" s="116" t="s">
        <v>49</v>
      </c>
      <c r="G74" s="117">
        <v>1.0</v>
      </c>
      <c r="H74" s="117"/>
      <c r="I74" s="117"/>
      <c r="J74" s="117">
        <v>12800.0</v>
      </c>
      <c r="K74" s="75">
        <f t="shared" si="31"/>
        <v>0</v>
      </c>
      <c r="L74" s="76">
        <v>0.09</v>
      </c>
      <c r="M74" s="79">
        <f t="shared" si="32"/>
        <v>0</v>
      </c>
      <c r="N74" s="84"/>
      <c r="O74" s="60"/>
      <c r="P74" s="116">
        <v>1.0</v>
      </c>
      <c r="Q74" s="116" t="s">
        <v>49</v>
      </c>
      <c r="R74" s="117">
        <v>1.0</v>
      </c>
      <c r="S74" s="117"/>
      <c r="T74" s="117"/>
      <c r="U74" s="117">
        <v>12800.0</v>
      </c>
      <c r="V74" s="75">
        <f t="shared" si="33"/>
        <v>0</v>
      </c>
      <c r="W74" s="76">
        <v>0.09</v>
      </c>
      <c r="X74" s="79">
        <f t="shared" si="34"/>
        <v>0</v>
      </c>
      <c r="Y74" s="75">
        <v>0.0</v>
      </c>
      <c r="Z74" s="76">
        <v>0.09</v>
      </c>
      <c r="AA74" s="79">
        <f t="shared" si="35"/>
        <v>0</v>
      </c>
    </row>
    <row r="75" ht="15.75" customHeight="1">
      <c r="A75" s="85"/>
      <c r="B75" s="165" t="s">
        <v>86</v>
      </c>
      <c r="C75" s="6"/>
      <c r="D75" s="166"/>
      <c r="E75" s="116">
        <v>10.0</v>
      </c>
      <c r="F75" s="116" t="s">
        <v>45</v>
      </c>
      <c r="G75" s="117">
        <v>1.0</v>
      </c>
      <c r="H75" s="117">
        <v>12000.0</v>
      </c>
      <c r="I75" s="117"/>
      <c r="J75" s="117">
        <v>2600.0</v>
      </c>
      <c r="K75" s="75">
        <f t="shared" si="31"/>
        <v>120000</v>
      </c>
      <c r="L75" s="76">
        <v>0.09</v>
      </c>
      <c r="M75" s="79">
        <f t="shared" si="32"/>
        <v>131868.1319</v>
      </c>
      <c r="N75" s="84"/>
      <c r="O75" s="60"/>
      <c r="P75" s="116">
        <v>3.0</v>
      </c>
      <c r="Q75" s="116" t="s">
        <v>45</v>
      </c>
      <c r="R75" s="117">
        <v>1.0</v>
      </c>
      <c r="S75" s="117">
        <v>12000.0</v>
      </c>
      <c r="T75" s="117"/>
      <c r="U75" s="117">
        <v>2600.0</v>
      </c>
      <c r="V75" s="75">
        <f t="shared" si="33"/>
        <v>36000</v>
      </c>
      <c r="W75" s="76">
        <v>0.09</v>
      </c>
      <c r="X75" s="79">
        <f t="shared" si="34"/>
        <v>39560.43956</v>
      </c>
      <c r="Y75" s="75">
        <v>0.0</v>
      </c>
      <c r="Z75" s="76">
        <v>0.09</v>
      </c>
      <c r="AA75" s="79">
        <f t="shared" si="35"/>
        <v>0</v>
      </c>
    </row>
    <row r="76" ht="15.75" customHeight="1">
      <c r="A76" s="80"/>
      <c r="B76" s="151" t="s">
        <v>76</v>
      </c>
      <c r="C76" s="152"/>
      <c r="D76" s="153"/>
      <c r="E76" s="116">
        <v>8.0</v>
      </c>
      <c r="F76" s="116" t="s">
        <v>49</v>
      </c>
      <c r="G76" s="117">
        <v>1.0</v>
      </c>
      <c r="H76" s="117"/>
      <c r="I76" s="117"/>
      <c r="J76" s="117">
        <v>5200.0</v>
      </c>
      <c r="K76" s="75">
        <f t="shared" si="31"/>
        <v>0</v>
      </c>
      <c r="L76" s="76">
        <v>0.09</v>
      </c>
      <c r="M76" s="79">
        <f t="shared" si="32"/>
        <v>0</v>
      </c>
      <c r="N76" s="84"/>
      <c r="O76" s="60"/>
      <c r="P76" s="116">
        <v>1.0</v>
      </c>
      <c r="Q76" s="116" t="s">
        <v>49</v>
      </c>
      <c r="R76" s="117">
        <v>1.0</v>
      </c>
      <c r="S76" s="117"/>
      <c r="T76" s="117"/>
      <c r="U76" s="117">
        <v>5200.0</v>
      </c>
      <c r="V76" s="75">
        <f t="shared" si="33"/>
        <v>0</v>
      </c>
      <c r="W76" s="76">
        <v>0.09</v>
      </c>
      <c r="X76" s="79">
        <f t="shared" si="34"/>
        <v>0</v>
      </c>
      <c r="Y76" s="75">
        <v>0.0</v>
      </c>
      <c r="Z76" s="76">
        <v>0.09</v>
      </c>
      <c r="AA76" s="79">
        <f t="shared" si="35"/>
        <v>0</v>
      </c>
    </row>
    <row r="77" ht="15.75" customHeight="1">
      <c r="A77" s="80"/>
      <c r="B77" s="151" t="s">
        <v>77</v>
      </c>
      <c r="C77" s="152"/>
      <c r="D77" s="153"/>
      <c r="E77" s="116">
        <v>1.0</v>
      </c>
      <c r="F77" s="116" t="s">
        <v>49</v>
      </c>
      <c r="G77" s="117">
        <v>1.0</v>
      </c>
      <c r="H77" s="117"/>
      <c r="I77" s="117"/>
      <c r="J77" s="117">
        <v>10400.0</v>
      </c>
      <c r="K77" s="75">
        <f t="shared" si="31"/>
        <v>0</v>
      </c>
      <c r="L77" s="76">
        <v>0.09</v>
      </c>
      <c r="M77" s="79">
        <f t="shared" si="32"/>
        <v>0</v>
      </c>
      <c r="N77" s="84"/>
      <c r="O77" s="60"/>
      <c r="P77" s="116">
        <v>1.0</v>
      </c>
      <c r="Q77" s="116" t="s">
        <v>49</v>
      </c>
      <c r="R77" s="117">
        <v>1.0</v>
      </c>
      <c r="S77" s="117"/>
      <c r="T77" s="117"/>
      <c r="U77" s="117">
        <v>10400.0</v>
      </c>
      <c r="V77" s="75">
        <f t="shared" si="33"/>
        <v>0</v>
      </c>
      <c r="W77" s="76">
        <v>0.09</v>
      </c>
      <c r="X77" s="79">
        <f t="shared" si="34"/>
        <v>0</v>
      </c>
      <c r="Y77" s="75">
        <v>0.0</v>
      </c>
      <c r="Z77" s="76">
        <v>0.09</v>
      </c>
      <c r="AA77" s="79">
        <f t="shared" si="35"/>
        <v>0</v>
      </c>
    </row>
    <row r="78" ht="15.75" customHeight="1">
      <c r="A78" s="85"/>
      <c r="B78" s="115" t="s">
        <v>87</v>
      </c>
      <c r="C78" s="42"/>
      <c r="D78" s="43"/>
      <c r="E78" s="116">
        <v>1.0</v>
      </c>
      <c r="F78" s="116" t="s">
        <v>45</v>
      </c>
      <c r="G78" s="117">
        <v>1.0</v>
      </c>
      <c r="H78" s="75">
        <v>14000.0</v>
      </c>
      <c r="I78" s="75"/>
      <c r="J78" s="75">
        <v>2900.0</v>
      </c>
      <c r="K78" s="75">
        <f t="shared" si="31"/>
        <v>14000</v>
      </c>
      <c r="L78" s="76">
        <v>0.09</v>
      </c>
      <c r="M78" s="79">
        <f t="shared" si="32"/>
        <v>15384.61538</v>
      </c>
      <c r="N78" s="84"/>
      <c r="O78" s="60"/>
      <c r="P78" s="116">
        <v>1.0</v>
      </c>
      <c r="Q78" s="116" t="s">
        <v>45</v>
      </c>
      <c r="R78" s="117">
        <v>1.0</v>
      </c>
      <c r="S78" s="75">
        <v>14000.0</v>
      </c>
      <c r="T78" s="75"/>
      <c r="U78" s="75">
        <v>2900.0</v>
      </c>
      <c r="V78" s="75">
        <f t="shared" si="33"/>
        <v>14000</v>
      </c>
      <c r="W78" s="76">
        <v>0.09</v>
      </c>
      <c r="X78" s="79">
        <f t="shared" si="34"/>
        <v>15384.61538</v>
      </c>
      <c r="Y78" s="75">
        <v>0.0</v>
      </c>
      <c r="Z78" s="76">
        <v>0.09</v>
      </c>
      <c r="AA78" s="79">
        <f t="shared" si="35"/>
        <v>0</v>
      </c>
    </row>
    <row r="79" ht="15.75" customHeight="1">
      <c r="A79" s="85"/>
      <c r="B79" s="151" t="s">
        <v>76</v>
      </c>
      <c r="C79" s="152"/>
      <c r="D79" s="153"/>
      <c r="E79" s="116">
        <v>1.0</v>
      </c>
      <c r="F79" s="116" t="s">
        <v>49</v>
      </c>
      <c r="G79" s="117">
        <v>1.0</v>
      </c>
      <c r="H79" s="75"/>
      <c r="I79" s="75"/>
      <c r="J79" s="75">
        <v>5800.0</v>
      </c>
      <c r="K79" s="75">
        <f t="shared" si="31"/>
        <v>0</v>
      </c>
      <c r="L79" s="76">
        <v>0.09</v>
      </c>
      <c r="M79" s="79">
        <f t="shared" si="32"/>
        <v>0</v>
      </c>
      <c r="N79" s="84"/>
      <c r="O79" s="60"/>
      <c r="P79" s="116">
        <v>1.0</v>
      </c>
      <c r="Q79" s="116" t="s">
        <v>49</v>
      </c>
      <c r="R79" s="117">
        <v>1.0</v>
      </c>
      <c r="S79" s="75"/>
      <c r="T79" s="75"/>
      <c r="U79" s="75">
        <v>5800.0</v>
      </c>
      <c r="V79" s="75">
        <f t="shared" si="33"/>
        <v>0</v>
      </c>
      <c r="W79" s="76">
        <v>0.09</v>
      </c>
      <c r="X79" s="79">
        <f t="shared" si="34"/>
        <v>0</v>
      </c>
      <c r="Y79" s="75">
        <v>0.0</v>
      </c>
      <c r="Z79" s="76">
        <v>0.09</v>
      </c>
      <c r="AA79" s="79">
        <f t="shared" si="35"/>
        <v>0</v>
      </c>
    </row>
    <row r="80" ht="15.75" customHeight="1">
      <c r="A80" s="85"/>
      <c r="B80" s="151" t="s">
        <v>77</v>
      </c>
      <c r="C80" s="152"/>
      <c r="D80" s="153"/>
      <c r="E80" s="116">
        <v>1.0</v>
      </c>
      <c r="F80" s="116" t="s">
        <v>49</v>
      </c>
      <c r="G80" s="117">
        <v>1.0</v>
      </c>
      <c r="H80" s="75"/>
      <c r="I80" s="75"/>
      <c r="J80" s="75">
        <v>11600.0</v>
      </c>
      <c r="K80" s="75">
        <f t="shared" si="31"/>
        <v>0</v>
      </c>
      <c r="L80" s="76">
        <v>0.09</v>
      </c>
      <c r="M80" s="79">
        <f t="shared" si="32"/>
        <v>0</v>
      </c>
      <c r="N80" s="84"/>
      <c r="O80" s="60"/>
      <c r="P80" s="116">
        <v>1.0</v>
      </c>
      <c r="Q80" s="116" t="s">
        <v>49</v>
      </c>
      <c r="R80" s="117">
        <v>1.0</v>
      </c>
      <c r="S80" s="75"/>
      <c r="T80" s="75"/>
      <c r="U80" s="75">
        <v>11600.0</v>
      </c>
      <c r="V80" s="75">
        <f t="shared" si="33"/>
        <v>0</v>
      </c>
      <c r="W80" s="76">
        <v>0.09</v>
      </c>
      <c r="X80" s="79">
        <f t="shared" si="34"/>
        <v>0</v>
      </c>
      <c r="Y80" s="75">
        <v>0.0</v>
      </c>
      <c r="Z80" s="76">
        <v>0.09</v>
      </c>
      <c r="AA80" s="79">
        <f t="shared" si="35"/>
        <v>0</v>
      </c>
    </row>
    <row r="81" ht="15.75" customHeight="1">
      <c r="A81" s="85"/>
      <c r="B81" s="151" t="s">
        <v>80</v>
      </c>
      <c r="C81" s="152"/>
      <c r="D81" s="153"/>
      <c r="E81" s="154">
        <v>1.0</v>
      </c>
      <c r="F81" s="154" t="s">
        <v>45</v>
      </c>
      <c r="G81" s="75">
        <v>1.0</v>
      </c>
      <c r="H81" s="75">
        <v>11600.0</v>
      </c>
      <c r="I81" s="75"/>
      <c r="J81" s="75"/>
      <c r="K81" s="75">
        <f t="shared" si="31"/>
        <v>11600</v>
      </c>
      <c r="L81" s="76">
        <v>0.09</v>
      </c>
      <c r="M81" s="79">
        <f t="shared" si="32"/>
        <v>12747.25275</v>
      </c>
      <c r="N81" s="84"/>
      <c r="O81" s="60"/>
      <c r="P81" s="154">
        <v>1.0</v>
      </c>
      <c r="Q81" s="154" t="s">
        <v>45</v>
      </c>
      <c r="R81" s="75">
        <v>1.0</v>
      </c>
      <c r="S81" s="75">
        <v>11600.0</v>
      </c>
      <c r="T81" s="75"/>
      <c r="U81" s="75"/>
      <c r="V81" s="75">
        <f t="shared" si="33"/>
        <v>11600</v>
      </c>
      <c r="W81" s="76">
        <v>0.09</v>
      </c>
      <c r="X81" s="79">
        <f t="shared" si="34"/>
        <v>12747.25275</v>
      </c>
      <c r="Y81" s="75">
        <v>0.0</v>
      </c>
      <c r="Z81" s="76">
        <v>0.09</v>
      </c>
      <c r="AA81" s="79">
        <f t="shared" si="35"/>
        <v>0</v>
      </c>
    </row>
    <row r="82" ht="15.75" customHeight="1">
      <c r="A82" s="85"/>
      <c r="B82" s="115" t="s">
        <v>88</v>
      </c>
      <c r="C82" s="42"/>
      <c r="D82" s="43"/>
      <c r="E82" s="116">
        <v>1.0</v>
      </c>
      <c r="F82" s="116" t="s">
        <v>45</v>
      </c>
      <c r="G82" s="75">
        <v>1.0</v>
      </c>
      <c r="H82" s="75">
        <v>25000.0</v>
      </c>
      <c r="I82" s="75"/>
      <c r="J82" s="75">
        <v>5000.0</v>
      </c>
      <c r="K82" s="75">
        <f t="shared" si="31"/>
        <v>25000</v>
      </c>
      <c r="L82" s="76">
        <v>0.09</v>
      </c>
      <c r="M82" s="79">
        <f t="shared" si="32"/>
        <v>27472.52747</v>
      </c>
      <c r="N82" s="84"/>
      <c r="O82" s="60"/>
      <c r="P82" s="116">
        <v>1.0</v>
      </c>
      <c r="Q82" s="116" t="s">
        <v>45</v>
      </c>
      <c r="R82" s="75">
        <v>1.0</v>
      </c>
      <c r="S82" s="75">
        <v>25000.0</v>
      </c>
      <c r="T82" s="75"/>
      <c r="U82" s="75">
        <v>5000.0</v>
      </c>
      <c r="V82" s="75">
        <f t="shared" si="33"/>
        <v>25000</v>
      </c>
      <c r="W82" s="76">
        <v>0.09</v>
      </c>
      <c r="X82" s="79">
        <f t="shared" si="34"/>
        <v>27472.52747</v>
      </c>
      <c r="Y82" s="75">
        <v>0.0</v>
      </c>
      <c r="Z82" s="76">
        <v>0.09</v>
      </c>
      <c r="AA82" s="79">
        <f t="shared" si="35"/>
        <v>0</v>
      </c>
    </row>
    <row r="83" ht="15.75" customHeight="1">
      <c r="A83" s="85"/>
      <c r="B83" s="151" t="s">
        <v>76</v>
      </c>
      <c r="C83" s="152"/>
      <c r="D83" s="153"/>
      <c r="E83" s="116">
        <v>1.0</v>
      </c>
      <c r="F83" s="116" t="s">
        <v>49</v>
      </c>
      <c r="G83" s="117">
        <v>1.0</v>
      </c>
      <c r="H83" s="117"/>
      <c r="I83" s="117"/>
      <c r="J83" s="117">
        <v>20000.0</v>
      </c>
      <c r="K83" s="75">
        <f t="shared" si="31"/>
        <v>0</v>
      </c>
      <c r="L83" s="76">
        <v>0.09</v>
      </c>
      <c r="M83" s="79">
        <f t="shared" si="32"/>
        <v>0</v>
      </c>
      <c r="N83" s="84"/>
      <c r="O83" s="60"/>
      <c r="P83" s="116">
        <v>1.0</v>
      </c>
      <c r="Q83" s="116" t="s">
        <v>49</v>
      </c>
      <c r="R83" s="117">
        <v>1.0</v>
      </c>
      <c r="S83" s="117"/>
      <c r="T83" s="117"/>
      <c r="U83" s="117">
        <v>20000.0</v>
      </c>
      <c r="V83" s="75">
        <f t="shared" si="33"/>
        <v>0</v>
      </c>
      <c r="W83" s="76">
        <v>0.09</v>
      </c>
      <c r="X83" s="79">
        <f t="shared" si="34"/>
        <v>0</v>
      </c>
      <c r="Y83" s="75">
        <v>0.0</v>
      </c>
      <c r="Z83" s="76">
        <v>0.09</v>
      </c>
      <c r="AA83" s="79">
        <f t="shared" si="35"/>
        <v>0</v>
      </c>
    </row>
    <row r="84" ht="15.75" customHeight="1">
      <c r="A84" s="85"/>
      <c r="B84" s="151" t="s">
        <v>77</v>
      </c>
      <c r="C84" s="152"/>
      <c r="D84" s="153"/>
      <c r="E84" s="116">
        <v>1.0</v>
      </c>
      <c r="F84" s="116" t="s">
        <v>49</v>
      </c>
      <c r="G84" s="117">
        <v>1.0</v>
      </c>
      <c r="H84" s="117"/>
      <c r="I84" s="117"/>
      <c r="J84" s="117">
        <v>40000.0</v>
      </c>
      <c r="K84" s="75">
        <f t="shared" si="31"/>
        <v>0</v>
      </c>
      <c r="L84" s="76">
        <v>0.09</v>
      </c>
      <c r="M84" s="79">
        <f t="shared" si="32"/>
        <v>0</v>
      </c>
      <c r="N84" s="84"/>
      <c r="O84" s="60"/>
      <c r="P84" s="116">
        <v>1.0</v>
      </c>
      <c r="Q84" s="116" t="s">
        <v>49</v>
      </c>
      <c r="R84" s="117">
        <v>1.0</v>
      </c>
      <c r="S84" s="117"/>
      <c r="T84" s="117"/>
      <c r="U84" s="117">
        <v>40000.0</v>
      </c>
      <c r="V84" s="75">
        <f t="shared" si="33"/>
        <v>0</v>
      </c>
      <c r="W84" s="76">
        <v>0.09</v>
      </c>
      <c r="X84" s="79">
        <f t="shared" si="34"/>
        <v>0</v>
      </c>
      <c r="Y84" s="75">
        <v>0.0</v>
      </c>
      <c r="Z84" s="76">
        <v>0.09</v>
      </c>
      <c r="AA84" s="79">
        <f t="shared" si="35"/>
        <v>0</v>
      </c>
    </row>
    <row r="85" ht="15.75" customHeight="1">
      <c r="A85" s="85"/>
      <c r="B85" s="69" t="s">
        <v>89</v>
      </c>
      <c r="C85" s="70"/>
      <c r="D85" s="71"/>
      <c r="E85" s="155">
        <v>1.0</v>
      </c>
      <c r="F85" s="116" t="s">
        <v>45</v>
      </c>
      <c r="G85" s="156">
        <v>1.0</v>
      </c>
      <c r="H85" s="156">
        <v>70000.0</v>
      </c>
      <c r="I85" s="156"/>
      <c r="J85" s="156">
        <v>14000.0</v>
      </c>
      <c r="K85" s="117">
        <f t="shared" si="31"/>
        <v>70000</v>
      </c>
      <c r="L85" s="76">
        <v>0.09</v>
      </c>
      <c r="M85" s="79">
        <f t="shared" si="32"/>
        <v>76923.07692</v>
      </c>
      <c r="N85" s="84"/>
      <c r="O85" s="60"/>
      <c r="P85" s="155">
        <v>1.0</v>
      </c>
      <c r="Q85" s="116" t="s">
        <v>45</v>
      </c>
      <c r="R85" s="156">
        <v>1.0</v>
      </c>
      <c r="S85" s="156">
        <v>70000.0</v>
      </c>
      <c r="T85" s="156"/>
      <c r="U85" s="156">
        <v>14000.0</v>
      </c>
      <c r="V85" s="75">
        <f t="shared" si="33"/>
        <v>70000</v>
      </c>
      <c r="W85" s="76">
        <v>0.09</v>
      </c>
      <c r="X85" s="79">
        <f t="shared" si="34"/>
        <v>76923.07692</v>
      </c>
      <c r="Y85" s="75">
        <v>0.0</v>
      </c>
      <c r="Z85" s="76">
        <v>0.09</v>
      </c>
      <c r="AA85" s="79">
        <f t="shared" si="35"/>
        <v>0</v>
      </c>
    </row>
    <row r="86" ht="15.75" customHeight="1">
      <c r="A86" s="85"/>
      <c r="B86" s="151" t="s">
        <v>76</v>
      </c>
      <c r="C86" s="152"/>
      <c r="D86" s="153"/>
      <c r="E86" s="116">
        <v>1.0</v>
      </c>
      <c r="F86" s="116" t="s">
        <v>49</v>
      </c>
      <c r="G86" s="117">
        <v>1.0</v>
      </c>
      <c r="H86" s="117"/>
      <c r="I86" s="117"/>
      <c r="J86" s="117"/>
      <c r="K86" s="75">
        <f t="shared" si="31"/>
        <v>0</v>
      </c>
      <c r="L86" s="76">
        <v>0.09</v>
      </c>
      <c r="M86" s="79">
        <f t="shared" si="32"/>
        <v>0</v>
      </c>
      <c r="N86" s="84"/>
      <c r="O86" s="60"/>
      <c r="P86" s="116">
        <v>1.0</v>
      </c>
      <c r="Q86" s="116" t="s">
        <v>49</v>
      </c>
      <c r="R86" s="117">
        <v>1.0</v>
      </c>
      <c r="S86" s="117"/>
      <c r="T86" s="117"/>
      <c r="U86" s="117"/>
      <c r="V86" s="75">
        <f t="shared" si="33"/>
        <v>0</v>
      </c>
      <c r="W86" s="76">
        <v>0.09</v>
      </c>
      <c r="X86" s="79">
        <f t="shared" si="34"/>
        <v>0</v>
      </c>
      <c r="Y86" s="75">
        <v>0.0</v>
      </c>
      <c r="Z86" s="76">
        <v>0.09</v>
      </c>
      <c r="AA86" s="79">
        <f t="shared" si="35"/>
        <v>0</v>
      </c>
    </row>
    <row r="87" ht="15.75" customHeight="1">
      <c r="A87" s="85"/>
      <c r="B87" s="151" t="s">
        <v>77</v>
      </c>
      <c r="C87" s="152"/>
      <c r="D87" s="153"/>
      <c r="E87" s="116">
        <v>1.0</v>
      </c>
      <c r="F87" s="116" t="s">
        <v>49</v>
      </c>
      <c r="G87" s="117">
        <v>1.0</v>
      </c>
      <c r="H87" s="117"/>
      <c r="I87" s="117"/>
      <c r="J87" s="117"/>
      <c r="K87" s="75">
        <f t="shared" si="31"/>
        <v>0</v>
      </c>
      <c r="L87" s="76">
        <v>0.09</v>
      </c>
      <c r="M87" s="79">
        <f t="shared" si="32"/>
        <v>0</v>
      </c>
      <c r="N87" s="84"/>
      <c r="O87" s="60"/>
      <c r="P87" s="116">
        <v>1.0</v>
      </c>
      <c r="Q87" s="116" t="s">
        <v>49</v>
      </c>
      <c r="R87" s="117">
        <v>1.0</v>
      </c>
      <c r="S87" s="117"/>
      <c r="T87" s="117"/>
      <c r="U87" s="117"/>
      <c r="V87" s="75">
        <f t="shared" si="33"/>
        <v>0</v>
      </c>
      <c r="W87" s="76">
        <v>0.09</v>
      </c>
      <c r="X87" s="79">
        <f t="shared" si="34"/>
        <v>0</v>
      </c>
      <c r="Y87" s="75">
        <v>0.0</v>
      </c>
      <c r="Z87" s="76">
        <v>0.09</v>
      </c>
      <c r="AA87" s="79">
        <f t="shared" si="35"/>
        <v>0</v>
      </c>
    </row>
    <row r="88" ht="15.75" customHeight="1">
      <c r="A88" s="85"/>
      <c r="B88" s="69" t="s">
        <v>90</v>
      </c>
      <c r="C88" s="70"/>
      <c r="D88" s="71"/>
      <c r="E88" s="155">
        <v>1.0</v>
      </c>
      <c r="F88" s="116" t="s">
        <v>45</v>
      </c>
      <c r="G88" s="156">
        <v>1.0</v>
      </c>
      <c r="H88" s="156">
        <v>70000.0</v>
      </c>
      <c r="I88" s="156"/>
      <c r="J88" s="156">
        <v>14000.0</v>
      </c>
      <c r="K88" s="75">
        <f t="shared" si="31"/>
        <v>70000</v>
      </c>
      <c r="L88" s="76">
        <v>0.09</v>
      </c>
      <c r="M88" s="79">
        <f t="shared" si="32"/>
        <v>76923.07692</v>
      </c>
      <c r="N88" s="84"/>
      <c r="O88" s="60"/>
      <c r="P88" s="155">
        <v>1.0</v>
      </c>
      <c r="Q88" s="116" t="s">
        <v>45</v>
      </c>
      <c r="R88" s="156">
        <v>1.0</v>
      </c>
      <c r="S88" s="156">
        <v>70000.0</v>
      </c>
      <c r="T88" s="156"/>
      <c r="U88" s="156">
        <v>14000.0</v>
      </c>
      <c r="V88" s="75">
        <f t="shared" si="33"/>
        <v>70000</v>
      </c>
      <c r="W88" s="76">
        <v>0.09</v>
      </c>
      <c r="X88" s="79">
        <f t="shared" si="34"/>
        <v>76923.07692</v>
      </c>
      <c r="Y88" s="75">
        <v>0.0</v>
      </c>
      <c r="Z88" s="76">
        <v>0.09</v>
      </c>
      <c r="AA88" s="79">
        <f t="shared" si="35"/>
        <v>0</v>
      </c>
    </row>
    <row r="89" ht="15.75" customHeight="1">
      <c r="A89" s="80"/>
      <c r="B89" s="151" t="s">
        <v>91</v>
      </c>
      <c r="C89" s="152"/>
      <c r="D89" s="153"/>
      <c r="E89" s="116">
        <v>1.0</v>
      </c>
      <c r="F89" s="116" t="s">
        <v>49</v>
      </c>
      <c r="G89" s="117">
        <v>1.0</v>
      </c>
      <c r="H89" s="117"/>
      <c r="I89" s="117"/>
      <c r="J89" s="117">
        <v>36400.0</v>
      </c>
      <c r="K89" s="75">
        <f t="shared" si="31"/>
        <v>0</v>
      </c>
      <c r="L89" s="76">
        <v>0.09</v>
      </c>
      <c r="M89" s="79">
        <f t="shared" si="32"/>
        <v>0</v>
      </c>
      <c r="N89" s="84"/>
      <c r="O89" s="60"/>
      <c r="P89" s="116">
        <v>1.0</v>
      </c>
      <c r="Q89" s="116" t="s">
        <v>49</v>
      </c>
      <c r="R89" s="117">
        <v>1.0</v>
      </c>
      <c r="S89" s="117"/>
      <c r="T89" s="117"/>
      <c r="U89" s="117">
        <v>36400.0</v>
      </c>
      <c r="V89" s="75">
        <f t="shared" si="33"/>
        <v>0</v>
      </c>
      <c r="W89" s="76">
        <v>0.09</v>
      </c>
      <c r="X89" s="79">
        <f t="shared" si="34"/>
        <v>0</v>
      </c>
      <c r="Y89" s="75">
        <v>0.0</v>
      </c>
      <c r="Z89" s="76">
        <v>0.09</v>
      </c>
      <c r="AA89" s="79">
        <f t="shared" si="35"/>
        <v>0</v>
      </c>
    </row>
    <row r="90" ht="15.75" customHeight="1">
      <c r="A90" s="80"/>
      <c r="B90" s="151" t="s">
        <v>92</v>
      </c>
      <c r="C90" s="152"/>
      <c r="D90" s="153"/>
      <c r="E90" s="116">
        <v>1.0</v>
      </c>
      <c r="F90" s="116" t="s">
        <v>49</v>
      </c>
      <c r="G90" s="117">
        <v>1.0</v>
      </c>
      <c r="H90" s="117"/>
      <c r="I90" s="117"/>
      <c r="J90" s="117">
        <v>72800.0</v>
      </c>
      <c r="K90" s="75">
        <f t="shared" si="31"/>
        <v>0</v>
      </c>
      <c r="L90" s="76">
        <v>0.09</v>
      </c>
      <c r="M90" s="79">
        <f t="shared" si="32"/>
        <v>0</v>
      </c>
      <c r="N90" s="84"/>
      <c r="O90" s="60"/>
      <c r="P90" s="116">
        <v>1.0</v>
      </c>
      <c r="Q90" s="116" t="s">
        <v>49</v>
      </c>
      <c r="R90" s="117">
        <v>1.0</v>
      </c>
      <c r="S90" s="117"/>
      <c r="T90" s="117"/>
      <c r="U90" s="117">
        <v>72800.0</v>
      </c>
      <c r="V90" s="75">
        <f t="shared" si="33"/>
        <v>0</v>
      </c>
      <c r="W90" s="76">
        <v>0.09</v>
      </c>
      <c r="X90" s="79">
        <f t="shared" si="34"/>
        <v>0</v>
      </c>
      <c r="Y90" s="75">
        <v>0.0</v>
      </c>
      <c r="Z90" s="76">
        <v>0.09</v>
      </c>
      <c r="AA90" s="79">
        <f t="shared" si="35"/>
        <v>0</v>
      </c>
    </row>
    <row r="91" ht="15.75" customHeight="1">
      <c r="A91" s="118"/>
      <c r="B91" s="170" t="s">
        <v>93</v>
      </c>
      <c r="C91" s="171"/>
      <c r="D91" s="172"/>
      <c r="E91" s="122"/>
      <c r="F91" s="123"/>
      <c r="G91" s="124"/>
      <c r="H91" s="124"/>
      <c r="I91" s="124"/>
      <c r="J91" s="124"/>
      <c r="K91" s="124"/>
      <c r="L91" s="124"/>
      <c r="M91" s="125"/>
      <c r="N91" s="173"/>
      <c r="O91" s="60"/>
      <c r="P91" s="123"/>
      <c r="Q91" s="123"/>
      <c r="R91" s="124"/>
      <c r="S91" s="124"/>
      <c r="T91" s="124"/>
      <c r="U91" s="124"/>
      <c r="V91" s="124"/>
      <c r="W91" s="124"/>
      <c r="X91" s="125"/>
      <c r="Y91" s="125"/>
      <c r="Z91" s="124"/>
      <c r="AA91" s="125"/>
    </row>
    <row r="92" ht="15.75" customHeight="1">
      <c r="A92" s="85"/>
      <c r="B92" s="151" t="s">
        <v>94</v>
      </c>
      <c r="C92" s="152"/>
      <c r="D92" s="153"/>
      <c r="E92" s="116">
        <v>1.0</v>
      </c>
      <c r="F92" s="116" t="s">
        <v>45</v>
      </c>
      <c r="G92" s="117">
        <v>1.0</v>
      </c>
      <c r="H92" s="117"/>
      <c r="I92" s="117"/>
      <c r="J92" s="117"/>
      <c r="K92" s="75">
        <f t="shared" ref="K92:K93" si="36">(E92*G92*H92)+(I92*J92*E92*G92)</f>
        <v>0</v>
      </c>
      <c r="L92" s="76">
        <v>0.09</v>
      </c>
      <c r="M92" s="79">
        <f t="shared" ref="M92:M93" si="37">K92/(1-L92)</f>
        <v>0</v>
      </c>
      <c r="N92" s="84"/>
      <c r="O92" s="60"/>
      <c r="P92" s="116">
        <v>1.0</v>
      </c>
      <c r="Q92" s="116" t="s">
        <v>45</v>
      </c>
      <c r="R92" s="117">
        <v>1.0</v>
      </c>
      <c r="S92" s="117"/>
      <c r="T92" s="117"/>
      <c r="U92" s="117"/>
      <c r="V92" s="75">
        <f t="shared" ref="V92:V93" si="38">(P92*R92*S92)+(T92*U92*P92*R92)</f>
        <v>0</v>
      </c>
      <c r="W92" s="76">
        <v>0.09</v>
      </c>
      <c r="X92" s="79">
        <f t="shared" ref="X92:X93" si="39">V92/(1-W92)</f>
        <v>0</v>
      </c>
      <c r="Y92" s="75">
        <v>0.0</v>
      </c>
      <c r="Z92" s="76">
        <v>0.09</v>
      </c>
      <c r="AA92" s="79">
        <f t="shared" ref="AA92:AA93" si="40">Y92/(1-Z92)</f>
        <v>0</v>
      </c>
    </row>
    <row r="93" ht="15.75" customHeight="1">
      <c r="A93" s="85"/>
      <c r="B93" s="69" t="s">
        <v>95</v>
      </c>
      <c r="C93" s="70"/>
      <c r="D93" s="71"/>
      <c r="E93" s="155">
        <v>1.0</v>
      </c>
      <c r="F93" s="155" t="s">
        <v>45</v>
      </c>
      <c r="G93" s="156">
        <v>1.0</v>
      </c>
      <c r="H93" s="156"/>
      <c r="I93" s="156"/>
      <c r="J93" s="156"/>
      <c r="K93" s="75">
        <f t="shared" si="36"/>
        <v>0</v>
      </c>
      <c r="L93" s="76">
        <v>0.09</v>
      </c>
      <c r="M93" s="79">
        <f t="shared" si="37"/>
        <v>0</v>
      </c>
      <c r="N93" s="84"/>
      <c r="O93" s="60"/>
      <c r="P93" s="155">
        <v>1.0</v>
      </c>
      <c r="Q93" s="155" t="s">
        <v>45</v>
      </c>
      <c r="R93" s="156">
        <v>1.0</v>
      </c>
      <c r="S93" s="156"/>
      <c r="T93" s="156"/>
      <c r="U93" s="156"/>
      <c r="V93" s="75">
        <f t="shared" si="38"/>
        <v>0</v>
      </c>
      <c r="W93" s="76">
        <v>0.09</v>
      </c>
      <c r="X93" s="79">
        <f t="shared" si="39"/>
        <v>0</v>
      </c>
      <c r="Y93" s="75">
        <v>0.0</v>
      </c>
      <c r="Z93" s="76">
        <v>0.09</v>
      </c>
      <c r="AA93" s="79">
        <f t="shared" si="40"/>
        <v>0</v>
      </c>
    </row>
    <row r="94" ht="15.75" customHeight="1">
      <c r="A94" s="118"/>
      <c r="B94" s="126" t="s">
        <v>96</v>
      </c>
      <c r="C94" s="157"/>
      <c r="D94" s="158"/>
      <c r="E94" s="159"/>
      <c r="F94" s="160"/>
      <c r="G94" s="161"/>
      <c r="H94" s="161"/>
      <c r="I94" s="161"/>
      <c r="J94" s="161"/>
      <c r="K94" s="161"/>
      <c r="L94" s="161"/>
      <c r="M94" s="162"/>
      <c r="N94" s="164"/>
      <c r="O94" s="60"/>
      <c r="P94" s="123"/>
      <c r="Q94" s="123"/>
      <c r="R94" s="124"/>
      <c r="S94" s="124"/>
      <c r="T94" s="124"/>
      <c r="U94" s="124"/>
      <c r="V94" s="124"/>
      <c r="W94" s="124"/>
      <c r="X94" s="125"/>
      <c r="Y94" s="125"/>
      <c r="Z94" s="124"/>
      <c r="AA94" s="125"/>
    </row>
    <row r="95" ht="15.75" customHeight="1">
      <c r="A95" s="85"/>
      <c r="B95" s="151" t="s">
        <v>97</v>
      </c>
      <c r="C95" s="152"/>
      <c r="D95" s="153"/>
      <c r="E95" s="116">
        <v>1.0</v>
      </c>
      <c r="F95" s="73" t="s">
        <v>29</v>
      </c>
      <c r="G95" s="117">
        <v>1.0</v>
      </c>
      <c r="H95" s="117">
        <v>300000.0</v>
      </c>
      <c r="I95" s="117"/>
      <c r="J95" s="117"/>
      <c r="K95" s="75">
        <f t="shared" ref="K95:K103" si="41">(E95*G95*H95)+(I95*J95*E95*G95)</f>
        <v>300000</v>
      </c>
      <c r="L95" s="76">
        <v>0.09</v>
      </c>
      <c r="M95" s="79">
        <f t="shared" ref="M95:M103" si="42">K95/(1-L95)</f>
        <v>329670.3297</v>
      </c>
      <c r="N95" s="84"/>
      <c r="O95" s="60"/>
      <c r="P95" s="116">
        <v>1.0</v>
      </c>
      <c r="Q95" s="73" t="s">
        <v>29</v>
      </c>
      <c r="R95" s="117">
        <v>1.0</v>
      </c>
      <c r="S95" s="117">
        <v>300000.0</v>
      </c>
      <c r="T95" s="117"/>
      <c r="U95" s="117"/>
      <c r="V95" s="75">
        <f t="shared" ref="V95:V103" si="43">(P95*R95*S95)+(T95*U95*P95*R95)</f>
        <v>300000</v>
      </c>
      <c r="W95" s="76">
        <v>0.09</v>
      </c>
      <c r="X95" s="79">
        <f t="shared" ref="X95:X103" si="44">V95/(1-W95)</f>
        <v>329670.3297</v>
      </c>
      <c r="Y95" s="75">
        <v>0.0</v>
      </c>
      <c r="Z95" s="76">
        <v>0.09</v>
      </c>
      <c r="AA95" s="79">
        <f t="shared" ref="AA95:AA103" si="45">Y95/(1-Z95)</f>
        <v>0</v>
      </c>
    </row>
    <row r="96" ht="15.75" customHeight="1">
      <c r="A96" s="85"/>
      <c r="B96" s="151" t="s">
        <v>98</v>
      </c>
      <c r="C96" s="152"/>
      <c r="D96" s="153"/>
      <c r="E96" s="116">
        <v>1.0</v>
      </c>
      <c r="F96" s="73" t="s">
        <v>29</v>
      </c>
      <c r="G96" s="117">
        <v>1.0</v>
      </c>
      <c r="H96" s="117">
        <v>160000.0</v>
      </c>
      <c r="I96" s="117"/>
      <c r="J96" s="117"/>
      <c r="K96" s="75">
        <f t="shared" si="41"/>
        <v>160000</v>
      </c>
      <c r="L96" s="76">
        <v>0.09</v>
      </c>
      <c r="M96" s="79">
        <f t="shared" si="42"/>
        <v>175824.1758</v>
      </c>
      <c r="N96" s="84"/>
      <c r="O96" s="60"/>
      <c r="P96" s="116">
        <v>1.0</v>
      </c>
      <c r="Q96" s="73" t="s">
        <v>29</v>
      </c>
      <c r="R96" s="117">
        <v>1.0</v>
      </c>
      <c r="S96" s="117">
        <v>160000.0</v>
      </c>
      <c r="T96" s="117"/>
      <c r="U96" s="117"/>
      <c r="V96" s="75">
        <f t="shared" si="43"/>
        <v>160000</v>
      </c>
      <c r="W96" s="76">
        <v>0.09</v>
      </c>
      <c r="X96" s="79">
        <f t="shared" si="44"/>
        <v>175824.1758</v>
      </c>
      <c r="Y96" s="75">
        <v>0.0</v>
      </c>
      <c r="Z96" s="76">
        <v>0.09</v>
      </c>
      <c r="AA96" s="79">
        <f t="shared" si="45"/>
        <v>0</v>
      </c>
    </row>
    <row r="97" ht="15.75" customHeight="1">
      <c r="A97" s="85"/>
      <c r="B97" s="151" t="s">
        <v>99</v>
      </c>
      <c r="C97" s="152"/>
      <c r="D97" s="153"/>
      <c r="E97" s="116">
        <v>1.0</v>
      </c>
      <c r="F97" s="73" t="s">
        <v>29</v>
      </c>
      <c r="G97" s="117">
        <v>1.0</v>
      </c>
      <c r="H97" s="117">
        <v>140000.0</v>
      </c>
      <c r="I97" s="117"/>
      <c r="J97" s="117"/>
      <c r="K97" s="75">
        <f t="shared" si="41"/>
        <v>140000</v>
      </c>
      <c r="L97" s="76">
        <v>0.09</v>
      </c>
      <c r="M97" s="79">
        <f t="shared" si="42"/>
        <v>153846.1538</v>
      </c>
      <c r="N97" s="84"/>
      <c r="O97" s="60"/>
      <c r="P97" s="116">
        <v>1.0</v>
      </c>
      <c r="Q97" s="73" t="s">
        <v>29</v>
      </c>
      <c r="R97" s="117">
        <v>1.0</v>
      </c>
      <c r="S97" s="117">
        <v>140000.0</v>
      </c>
      <c r="T97" s="117"/>
      <c r="U97" s="117"/>
      <c r="V97" s="75">
        <f t="shared" si="43"/>
        <v>140000</v>
      </c>
      <c r="W97" s="76">
        <v>0.09</v>
      </c>
      <c r="X97" s="79">
        <f t="shared" si="44"/>
        <v>153846.1538</v>
      </c>
      <c r="Y97" s="75">
        <v>0.0</v>
      </c>
      <c r="Z97" s="76">
        <v>0.09</v>
      </c>
      <c r="AA97" s="79">
        <f t="shared" si="45"/>
        <v>0</v>
      </c>
    </row>
    <row r="98" ht="15.75" customHeight="1">
      <c r="A98" s="85"/>
      <c r="B98" s="115" t="s">
        <v>100</v>
      </c>
      <c r="C98" s="42"/>
      <c r="D98" s="43"/>
      <c r="E98" s="154">
        <v>1.0</v>
      </c>
      <c r="F98" s="155" t="s">
        <v>45</v>
      </c>
      <c r="G98" s="75">
        <v>1.0</v>
      </c>
      <c r="H98" s="75">
        <v>10000.0</v>
      </c>
      <c r="I98" s="75"/>
      <c r="J98" s="75">
        <v>3000.0</v>
      </c>
      <c r="K98" s="75">
        <f t="shared" si="41"/>
        <v>10000</v>
      </c>
      <c r="L98" s="76">
        <v>0.09</v>
      </c>
      <c r="M98" s="79">
        <f t="shared" si="42"/>
        <v>10989.01099</v>
      </c>
      <c r="N98" s="84"/>
      <c r="O98" s="60"/>
      <c r="P98" s="154">
        <v>1.0</v>
      </c>
      <c r="Q98" s="155" t="s">
        <v>45</v>
      </c>
      <c r="R98" s="75">
        <v>1.0</v>
      </c>
      <c r="S98" s="75">
        <v>10000.0</v>
      </c>
      <c r="T98" s="75"/>
      <c r="U98" s="75">
        <v>3000.0</v>
      </c>
      <c r="V98" s="75">
        <f t="shared" si="43"/>
        <v>10000</v>
      </c>
      <c r="W98" s="76">
        <v>0.09</v>
      </c>
      <c r="X98" s="79">
        <f t="shared" si="44"/>
        <v>10989.01099</v>
      </c>
      <c r="Y98" s="75">
        <v>0.0</v>
      </c>
      <c r="Z98" s="76">
        <v>0.09</v>
      </c>
      <c r="AA98" s="79">
        <f t="shared" si="45"/>
        <v>0</v>
      </c>
    </row>
    <row r="99" ht="15.75" customHeight="1">
      <c r="A99" s="85"/>
      <c r="B99" s="115" t="s">
        <v>101</v>
      </c>
      <c r="C99" s="42"/>
      <c r="D99" s="43"/>
      <c r="E99" s="154">
        <v>1.0</v>
      </c>
      <c r="F99" s="155" t="s">
        <v>45</v>
      </c>
      <c r="G99" s="75">
        <v>1.0</v>
      </c>
      <c r="H99" s="75">
        <v>10000.0</v>
      </c>
      <c r="I99" s="75"/>
      <c r="J99" s="75">
        <v>3000.0</v>
      </c>
      <c r="K99" s="75">
        <f t="shared" si="41"/>
        <v>10000</v>
      </c>
      <c r="L99" s="76">
        <v>0.09</v>
      </c>
      <c r="M99" s="79">
        <f t="shared" si="42"/>
        <v>10989.01099</v>
      </c>
      <c r="N99" s="84"/>
      <c r="O99" s="60"/>
      <c r="P99" s="154">
        <v>1.0</v>
      </c>
      <c r="Q99" s="155" t="s">
        <v>45</v>
      </c>
      <c r="R99" s="75">
        <v>1.0</v>
      </c>
      <c r="S99" s="75">
        <v>10000.0</v>
      </c>
      <c r="T99" s="75"/>
      <c r="U99" s="75">
        <v>3000.0</v>
      </c>
      <c r="V99" s="75">
        <f t="shared" si="43"/>
        <v>10000</v>
      </c>
      <c r="W99" s="76">
        <v>0.09</v>
      </c>
      <c r="X99" s="79">
        <f t="shared" si="44"/>
        <v>10989.01099</v>
      </c>
      <c r="Y99" s="75">
        <v>0.0</v>
      </c>
      <c r="Z99" s="76">
        <v>0.09</v>
      </c>
      <c r="AA99" s="79">
        <f t="shared" si="45"/>
        <v>0</v>
      </c>
    </row>
    <row r="100" ht="15.75" customHeight="1">
      <c r="A100" s="85"/>
      <c r="B100" s="115" t="s">
        <v>102</v>
      </c>
      <c r="C100" s="42"/>
      <c r="D100" s="43"/>
      <c r="E100" s="154">
        <v>1.0</v>
      </c>
      <c r="F100" s="155" t="s">
        <v>45</v>
      </c>
      <c r="G100" s="75">
        <v>1.0</v>
      </c>
      <c r="H100" s="75">
        <v>10000.0</v>
      </c>
      <c r="I100" s="75"/>
      <c r="J100" s="75">
        <v>3000.0</v>
      </c>
      <c r="K100" s="75">
        <f t="shared" si="41"/>
        <v>10000</v>
      </c>
      <c r="L100" s="76">
        <v>0.09</v>
      </c>
      <c r="M100" s="79">
        <f t="shared" si="42"/>
        <v>10989.01099</v>
      </c>
      <c r="N100" s="84"/>
      <c r="O100" s="60"/>
      <c r="P100" s="154">
        <v>1.0</v>
      </c>
      <c r="Q100" s="155" t="s">
        <v>45</v>
      </c>
      <c r="R100" s="75">
        <v>1.0</v>
      </c>
      <c r="S100" s="75">
        <v>10000.0</v>
      </c>
      <c r="T100" s="75"/>
      <c r="U100" s="75">
        <v>3000.0</v>
      </c>
      <c r="V100" s="75">
        <f t="shared" si="43"/>
        <v>10000</v>
      </c>
      <c r="W100" s="76">
        <v>0.09</v>
      </c>
      <c r="X100" s="79">
        <f t="shared" si="44"/>
        <v>10989.01099</v>
      </c>
      <c r="Y100" s="75">
        <v>0.0</v>
      </c>
      <c r="Z100" s="76">
        <v>0.09</v>
      </c>
      <c r="AA100" s="79">
        <f t="shared" si="45"/>
        <v>0</v>
      </c>
    </row>
    <row r="101" ht="15.75" customHeight="1">
      <c r="A101" s="85"/>
      <c r="B101" s="115" t="s">
        <v>103</v>
      </c>
      <c r="C101" s="42"/>
      <c r="D101" s="43"/>
      <c r="E101" s="154">
        <v>1.0</v>
      </c>
      <c r="F101" s="155" t="s">
        <v>45</v>
      </c>
      <c r="G101" s="75">
        <v>1.0</v>
      </c>
      <c r="H101" s="75">
        <v>10000.0</v>
      </c>
      <c r="I101" s="75"/>
      <c r="J101" s="75">
        <v>3000.0</v>
      </c>
      <c r="K101" s="75">
        <f t="shared" si="41"/>
        <v>10000</v>
      </c>
      <c r="L101" s="76">
        <v>0.09</v>
      </c>
      <c r="M101" s="79">
        <f t="shared" si="42"/>
        <v>10989.01099</v>
      </c>
      <c r="N101" s="84"/>
      <c r="O101" s="60"/>
      <c r="P101" s="154">
        <v>1.0</v>
      </c>
      <c r="Q101" s="155" t="s">
        <v>45</v>
      </c>
      <c r="R101" s="75">
        <v>1.0</v>
      </c>
      <c r="S101" s="75">
        <v>10000.0</v>
      </c>
      <c r="T101" s="75"/>
      <c r="U101" s="75">
        <v>3000.0</v>
      </c>
      <c r="V101" s="75">
        <f t="shared" si="43"/>
        <v>10000</v>
      </c>
      <c r="W101" s="76">
        <v>0.09</v>
      </c>
      <c r="X101" s="79">
        <f t="shared" si="44"/>
        <v>10989.01099</v>
      </c>
      <c r="Y101" s="75">
        <v>0.0</v>
      </c>
      <c r="Z101" s="76">
        <v>0.09</v>
      </c>
      <c r="AA101" s="79">
        <f t="shared" si="45"/>
        <v>0</v>
      </c>
    </row>
    <row r="102" ht="15.75" customHeight="1">
      <c r="A102" s="85"/>
      <c r="B102" s="115" t="s">
        <v>104</v>
      </c>
      <c r="C102" s="42"/>
      <c r="D102" s="43"/>
      <c r="E102" s="154">
        <v>1.0</v>
      </c>
      <c r="F102" s="73" t="s">
        <v>29</v>
      </c>
      <c r="G102" s="75">
        <v>1.0</v>
      </c>
      <c r="H102" s="75"/>
      <c r="I102" s="75"/>
      <c r="J102" s="75"/>
      <c r="K102" s="75">
        <f t="shared" si="41"/>
        <v>0</v>
      </c>
      <c r="L102" s="76">
        <v>0.09</v>
      </c>
      <c r="M102" s="79">
        <f t="shared" si="42"/>
        <v>0</v>
      </c>
      <c r="N102" s="84"/>
      <c r="O102" s="60"/>
      <c r="P102" s="154">
        <v>1.0</v>
      </c>
      <c r="Q102" s="73" t="s">
        <v>29</v>
      </c>
      <c r="R102" s="75">
        <v>1.0</v>
      </c>
      <c r="S102" s="75"/>
      <c r="T102" s="75"/>
      <c r="U102" s="75"/>
      <c r="V102" s="75">
        <f t="shared" si="43"/>
        <v>0</v>
      </c>
      <c r="W102" s="76">
        <v>0.09</v>
      </c>
      <c r="X102" s="79">
        <f t="shared" si="44"/>
        <v>0</v>
      </c>
      <c r="Y102" s="75">
        <v>0.0</v>
      </c>
      <c r="Z102" s="76">
        <v>0.09</v>
      </c>
      <c r="AA102" s="79">
        <f t="shared" si="45"/>
        <v>0</v>
      </c>
    </row>
    <row r="103" ht="15.75" customHeight="1">
      <c r="A103" s="85"/>
      <c r="B103" s="69" t="s">
        <v>105</v>
      </c>
      <c r="C103" s="70"/>
      <c r="D103" s="71"/>
      <c r="E103" s="155">
        <v>1.0</v>
      </c>
      <c r="F103" s="73" t="s">
        <v>29</v>
      </c>
      <c r="G103" s="156">
        <v>1.0</v>
      </c>
      <c r="H103" s="156"/>
      <c r="I103" s="156"/>
      <c r="J103" s="156"/>
      <c r="K103" s="75">
        <f t="shared" si="41"/>
        <v>0</v>
      </c>
      <c r="L103" s="76">
        <v>0.09</v>
      </c>
      <c r="M103" s="79">
        <f t="shared" si="42"/>
        <v>0</v>
      </c>
      <c r="N103" s="84"/>
      <c r="O103" s="60"/>
      <c r="P103" s="155">
        <v>1.0</v>
      </c>
      <c r="Q103" s="73" t="s">
        <v>29</v>
      </c>
      <c r="R103" s="156">
        <v>1.0</v>
      </c>
      <c r="S103" s="156"/>
      <c r="T103" s="156"/>
      <c r="U103" s="156"/>
      <c r="V103" s="75">
        <f t="shared" si="43"/>
        <v>0</v>
      </c>
      <c r="W103" s="76">
        <v>0.09</v>
      </c>
      <c r="X103" s="79">
        <f t="shared" si="44"/>
        <v>0</v>
      </c>
      <c r="Y103" s="75">
        <v>0.0</v>
      </c>
      <c r="Z103" s="76">
        <v>0.09</v>
      </c>
      <c r="AA103" s="79">
        <f t="shared" si="45"/>
        <v>0</v>
      </c>
    </row>
    <row r="104" ht="15.75" customHeight="1">
      <c r="A104" s="118"/>
      <c r="B104" s="126" t="s">
        <v>106</v>
      </c>
      <c r="C104" s="157"/>
      <c r="D104" s="158"/>
      <c r="E104" s="122"/>
      <c r="F104" s="123"/>
      <c r="G104" s="124"/>
      <c r="H104" s="124"/>
      <c r="I104" s="124"/>
      <c r="J104" s="124"/>
      <c r="K104" s="124"/>
      <c r="L104" s="124"/>
      <c r="M104" s="125"/>
      <c r="N104" s="173"/>
      <c r="O104" s="60"/>
      <c r="P104" s="123"/>
      <c r="Q104" s="123"/>
      <c r="R104" s="124"/>
      <c r="S104" s="124"/>
      <c r="T104" s="124"/>
      <c r="U104" s="124"/>
      <c r="V104" s="124"/>
      <c r="W104" s="124"/>
      <c r="X104" s="125"/>
      <c r="Y104" s="125"/>
      <c r="Z104" s="124"/>
      <c r="AA104" s="125"/>
    </row>
    <row r="105" ht="15.75" customHeight="1">
      <c r="A105" s="85"/>
      <c r="B105" s="151" t="s">
        <v>107</v>
      </c>
      <c r="C105" s="152"/>
      <c r="D105" s="153"/>
      <c r="E105" s="116">
        <v>1.0</v>
      </c>
      <c r="F105" s="155" t="s">
        <v>45</v>
      </c>
      <c r="G105" s="117">
        <v>1.0</v>
      </c>
      <c r="H105" s="117"/>
      <c r="I105" s="117"/>
      <c r="J105" s="117"/>
      <c r="K105" s="75">
        <f t="shared" ref="K105:K108" si="46">(E105*G105*H105)+(I105*J105*E105*G105)</f>
        <v>0</v>
      </c>
      <c r="L105" s="76">
        <v>0.09</v>
      </c>
      <c r="M105" s="79">
        <f t="shared" ref="M105:M108" si="47">K105/(1-L105)</f>
        <v>0</v>
      </c>
      <c r="N105" s="84"/>
      <c r="O105" s="60"/>
      <c r="P105" s="116">
        <v>1.0</v>
      </c>
      <c r="Q105" s="155" t="s">
        <v>45</v>
      </c>
      <c r="R105" s="117">
        <v>1.0</v>
      </c>
      <c r="S105" s="117"/>
      <c r="T105" s="117"/>
      <c r="U105" s="117"/>
      <c r="V105" s="75">
        <f t="shared" ref="V105:V108" si="48">(P105*R105*S105)+(T105*U105*P105*R105)</f>
        <v>0</v>
      </c>
      <c r="W105" s="76">
        <v>0.09</v>
      </c>
      <c r="X105" s="79">
        <f t="shared" ref="X105:X108" si="49">V105/(1-W105)</f>
        <v>0</v>
      </c>
      <c r="Y105" s="75">
        <v>0.0</v>
      </c>
      <c r="Z105" s="76">
        <v>0.09</v>
      </c>
      <c r="AA105" s="79">
        <f t="shared" ref="AA105:AA108" si="50">Y105/(1-Z105)</f>
        <v>0</v>
      </c>
    </row>
    <row r="106" ht="15.75" customHeight="1">
      <c r="A106" s="85"/>
      <c r="B106" s="115" t="s">
        <v>108</v>
      </c>
      <c r="C106" s="42"/>
      <c r="D106" s="43"/>
      <c r="E106" s="154">
        <v>1.0</v>
      </c>
      <c r="F106" s="155" t="s">
        <v>45</v>
      </c>
      <c r="G106" s="75">
        <v>1.0</v>
      </c>
      <c r="H106" s="75"/>
      <c r="I106" s="75"/>
      <c r="J106" s="75"/>
      <c r="K106" s="75">
        <f t="shared" si="46"/>
        <v>0</v>
      </c>
      <c r="L106" s="76">
        <v>0.09</v>
      </c>
      <c r="M106" s="79">
        <f t="shared" si="47"/>
        <v>0</v>
      </c>
      <c r="N106" s="84"/>
      <c r="O106" s="60"/>
      <c r="P106" s="154">
        <v>1.0</v>
      </c>
      <c r="Q106" s="155" t="s">
        <v>45</v>
      </c>
      <c r="R106" s="75">
        <v>1.0</v>
      </c>
      <c r="S106" s="75"/>
      <c r="T106" s="75"/>
      <c r="U106" s="75"/>
      <c r="V106" s="75">
        <f t="shared" si="48"/>
        <v>0</v>
      </c>
      <c r="W106" s="76">
        <v>0.09</v>
      </c>
      <c r="X106" s="79">
        <f t="shared" si="49"/>
        <v>0</v>
      </c>
      <c r="Y106" s="75">
        <v>0.0</v>
      </c>
      <c r="Z106" s="76">
        <v>0.09</v>
      </c>
      <c r="AA106" s="79">
        <f t="shared" si="50"/>
        <v>0</v>
      </c>
    </row>
    <row r="107" ht="15.75" customHeight="1">
      <c r="A107" s="85"/>
      <c r="B107" s="115" t="s">
        <v>109</v>
      </c>
      <c r="C107" s="42"/>
      <c r="D107" s="43"/>
      <c r="E107" s="154">
        <v>1.0</v>
      </c>
      <c r="F107" s="155" t="s">
        <v>45</v>
      </c>
      <c r="G107" s="75">
        <v>1.0</v>
      </c>
      <c r="H107" s="75"/>
      <c r="I107" s="75"/>
      <c r="J107" s="75"/>
      <c r="K107" s="75">
        <f t="shared" si="46"/>
        <v>0</v>
      </c>
      <c r="L107" s="76">
        <v>0.09</v>
      </c>
      <c r="M107" s="79">
        <f t="shared" si="47"/>
        <v>0</v>
      </c>
      <c r="N107" s="84"/>
      <c r="O107" s="60"/>
      <c r="P107" s="154">
        <v>1.0</v>
      </c>
      <c r="Q107" s="155" t="s">
        <v>45</v>
      </c>
      <c r="R107" s="75">
        <v>1.0</v>
      </c>
      <c r="S107" s="75"/>
      <c r="T107" s="75"/>
      <c r="U107" s="75"/>
      <c r="V107" s="75">
        <f t="shared" si="48"/>
        <v>0</v>
      </c>
      <c r="W107" s="76">
        <v>0.09</v>
      </c>
      <c r="X107" s="79">
        <f t="shared" si="49"/>
        <v>0</v>
      </c>
      <c r="Y107" s="75">
        <v>0.0</v>
      </c>
      <c r="Z107" s="76">
        <v>0.09</v>
      </c>
      <c r="AA107" s="79">
        <f t="shared" si="50"/>
        <v>0</v>
      </c>
    </row>
    <row r="108" ht="15.75" customHeight="1">
      <c r="A108" s="85"/>
      <c r="B108" s="69" t="s">
        <v>110</v>
      </c>
      <c r="C108" s="70"/>
      <c r="D108" s="71"/>
      <c r="E108" s="155">
        <v>1.0</v>
      </c>
      <c r="F108" s="155" t="s">
        <v>45</v>
      </c>
      <c r="G108" s="156">
        <v>1.0</v>
      </c>
      <c r="H108" s="156"/>
      <c r="I108" s="156"/>
      <c r="J108" s="156"/>
      <c r="K108" s="75">
        <f t="shared" si="46"/>
        <v>0</v>
      </c>
      <c r="L108" s="76">
        <v>0.09</v>
      </c>
      <c r="M108" s="79">
        <f t="shared" si="47"/>
        <v>0</v>
      </c>
      <c r="N108" s="84"/>
      <c r="O108" s="60"/>
      <c r="P108" s="155">
        <v>1.0</v>
      </c>
      <c r="Q108" s="155" t="s">
        <v>45</v>
      </c>
      <c r="R108" s="156">
        <v>1.0</v>
      </c>
      <c r="S108" s="156"/>
      <c r="T108" s="156"/>
      <c r="U108" s="156"/>
      <c r="V108" s="75">
        <f t="shared" si="48"/>
        <v>0</v>
      </c>
      <c r="W108" s="76">
        <v>0.09</v>
      </c>
      <c r="X108" s="79">
        <f t="shared" si="49"/>
        <v>0</v>
      </c>
      <c r="Y108" s="75">
        <v>0.0</v>
      </c>
      <c r="Z108" s="76">
        <v>0.09</v>
      </c>
      <c r="AA108" s="79">
        <f t="shared" si="50"/>
        <v>0</v>
      </c>
    </row>
    <row r="109" ht="15.75" customHeight="1">
      <c r="A109" s="118"/>
      <c r="B109" s="126" t="s">
        <v>111</v>
      </c>
      <c r="C109" s="157"/>
      <c r="D109" s="158"/>
      <c r="E109" s="122"/>
      <c r="F109" s="123"/>
      <c r="G109" s="124"/>
      <c r="H109" s="124"/>
      <c r="I109" s="124"/>
      <c r="J109" s="124"/>
      <c r="K109" s="124"/>
      <c r="L109" s="124"/>
      <c r="M109" s="125"/>
      <c r="N109" s="173"/>
      <c r="O109" s="60"/>
      <c r="P109" s="123"/>
      <c r="Q109" s="123"/>
      <c r="R109" s="124"/>
      <c r="S109" s="124"/>
      <c r="T109" s="124"/>
      <c r="U109" s="124"/>
      <c r="V109" s="124"/>
      <c r="W109" s="124"/>
      <c r="X109" s="125"/>
      <c r="Y109" s="125"/>
      <c r="Z109" s="124"/>
      <c r="AA109" s="125"/>
    </row>
    <row r="110" ht="15.75" customHeight="1">
      <c r="A110" s="85"/>
      <c r="B110" s="151" t="s">
        <v>112</v>
      </c>
      <c r="C110" s="152"/>
      <c r="D110" s="153"/>
      <c r="E110" s="116">
        <v>1.0</v>
      </c>
      <c r="F110" s="155" t="s">
        <v>45</v>
      </c>
      <c r="G110" s="117">
        <v>1.0</v>
      </c>
      <c r="H110" s="117"/>
      <c r="I110" s="117"/>
      <c r="J110" s="117"/>
      <c r="K110" s="75">
        <f t="shared" ref="K110:K120" si="51">(E110*G110*H110)+(I110*J110*E110*G110)</f>
        <v>0</v>
      </c>
      <c r="L110" s="76">
        <v>0.09</v>
      </c>
      <c r="M110" s="79">
        <f t="shared" ref="M110:M120" si="52">K110/(1-L110)</f>
        <v>0</v>
      </c>
      <c r="N110" s="84"/>
      <c r="O110" s="60"/>
      <c r="P110" s="116">
        <v>1.0</v>
      </c>
      <c r="Q110" s="155" t="s">
        <v>45</v>
      </c>
      <c r="R110" s="117">
        <v>1.0</v>
      </c>
      <c r="S110" s="117"/>
      <c r="T110" s="117"/>
      <c r="U110" s="117"/>
      <c r="V110" s="75">
        <f t="shared" ref="V110:V120" si="53">(P110*R110*S110)+(T110*U110*P110*R110)</f>
        <v>0</v>
      </c>
      <c r="W110" s="76">
        <v>0.09</v>
      </c>
      <c r="X110" s="79">
        <f t="shared" ref="X110:X113" si="54">V110/(1-W110)</f>
        <v>0</v>
      </c>
      <c r="Y110" s="75">
        <v>0.0</v>
      </c>
      <c r="Z110" s="76">
        <v>0.09</v>
      </c>
      <c r="AA110" s="79">
        <f t="shared" ref="AA110:AA113" si="55">Y110/(1-Z110)</f>
        <v>0</v>
      </c>
    </row>
    <row r="111" ht="15.75" customHeight="1">
      <c r="A111" s="85"/>
      <c r="B111" s="115" t="s">
        <v>113</v>
      </c>
      <c r="C111" s="42"/>
      <c r="D111" s="43"/>
      <c r="E111" s="154">
        <v>1.0</v>
      </c>
      <c r="F111" s="155" t="s">
        <v>45</v>
      </c>
      <c r="G111" s="75">
        <v>1.0</v>
      </c>
      <c r="H111" s="75"/>
      <c r="I111" s="75"/>
      <c r="J111" s="75"/>
      <c r="K111" s="75">
        <f t="shared" si="51"/>
        <v>0</v>
      </c>
      <c r="L111" s="76">
        <v>0.09</v>
      </c>
      <c r="M111" s="79">
        <f t="shared" si="52"/>
        <v>0</v>
      </c>
      <c r="N111" s="84"/>
      <c r="O111" s="60"/>
      <c r="P111" s="154">
        <v>1.0</v>
      </c>
      <c r="Q111" s="155" t="s">
        <v>45</v>
      </c>
      <c r="R111" s="75">
        <v>1.0</v>
      </c>
      <c r="S111" s="75"/>
      <c r="T111" s="75"/>
      <c r="U111" s="75"/>
      <c r="V111" s="75">
        <f t="shared" si="53"/>
        <v>0</v>
      </c>
      <c r="W111" s="76">
        <v>0.09</v>
      </c>
      <c r="X111" s="79">
        <f t="shared" si="54"/>
        <v>0</v>
      </c>
      <c r="Y111" s="75">
        <v>0.0</v>
      </c>
      <c r="Z111" s="76">
        <v>0.09</v>
      </c>
      <c r="AA111" s="79">
        <f t="shared" si="55"/>
        <v>0</v>
      </c>
    </row>
    <row r="112" ht="15.75" customHeight="1">
      <c r="A112" s="85"/>
      <c r="B112" s="115" t="s">
        <v>114</v>
      </c>
      <c r="C112" s="42"/>
      <c r="D112" s="43"/>
      <c r="E112" s="154">
        <v>1.0</v>
      </c>
      <c r="F112" s="155" t="s">
        <v>45</v>
      </c>
      <c r="G112" s="75">
        <v>1.0</v>
      </c>
      <c r="H112" s="75">
        <v>15000.0</v>
      </c>
      <c r="I112" s="75"/>
      <c r="J112" s="75">
        <v>3000.0</v>
      </c>
      <c r="K112" s="75">
        <f t="shared" si="51"/>
        <v>15000</v>
      </c>
      <c r="L112" s="76">
        <v>0.09</v>
      </c>
      <c r="M112" s="79">
        <f t="shared" si="52"/>
        <v>16483.51648</v>
      </c>
      <c r="N112" s="84"/>
      <c r="O112" s="60"/>
      <c r="P112" s="154">
        <v>1.0</v>
      </c>
      <c r="Q112" s="155" t="s">
        <v>45</v>
      </c>
      <c r="R112" s="75">
        <v>1.0</v>
      </c>
      <c r="S112" s="75">
        <v>15000.0</v>
      </c>
      <c r="T112" s="75"/>
      <c r="U112" s="75">
        <v>3000.0</v>
      </c>
      <c r="V112" s="75">
        <f t="shared" si="53"/>
        <v>15000</v>
      </c>
      <c r="W112" s="76">
        <v>0.09</v>
      </c>
      <c r="X112" s="79">
        <f t="shared" si="54"/>
        <v>16483.51648</v>
      </c>
      <c r="Y112" s="75">
        <v>0.0</v>
      </c>
      <c r="Z112" s="76">
        <v>0.09</v>
      </c>
      <c r="AA112" s="79">
        <f t="shared" si="55"/>
        <v>0</v>
      </c>
    </row>
    <row r="113" ht="15.75" customHeight="1">
      <c r="A113" s="80"/>
      <c r="B113" s="151" t="s">
        <v>80</v>
      </c>
      <c r="C113" s="152"/>
      <c r="D113" s="153"/>
      <c r="E113" s="154">
        <v>1.0</v>
      </c>
      <c r="F113" s="155" t="s">
        <v>45</v>
      </c>
      <c r="G113" s="75">
        <v>1.0</v>
      </c>
      <c r="H113" s="75">
        <v>4000.0</v>
      </c>
      <c r="I113" s="75"/>
      <c r="J113" s="75"/>
      <c r="K113" s="75">
        <f t="shared" si="51"/>
        <v>4000</v>
      </c>
      <c r="L113" s="76">
        <v>0.09</v>
      </c>
      <c r="M113" s="79">
        <f t="shared" si="52"/>
        <v>4395.604396</v>
      </c>
      <c r="N113" s="84"/>
      <c r="O113" s="60"/>
      <c r="P113" s="154">
        <v>1.0</v>
      </c>
      <c r="Q113" s="155" t="s">
        <v>45</v>
      </c>
      <c r="R113" s="75">
        <v>1.0</v>
      </c>
      <c r="S113" s="75">
        <v>4000.0</v>
      </c>
      <c r="T113" s="75"/>
      <c r="U113" s="75"/>
      <c r="V113" s="75">
        <f t="shared" si="53"/>
        <v>4000</v>
      </c>
      <c r="W113" s="76">
        <v>0.09</v>
      </c>
      <c r="X113" s="79">
        <f t="shared" si="54"/>
        <v>4395.604396</v>
      </c>
      <c r="Y113" s="75">
        <v>0.0</v>
      </c>
      <c r="Z113" s="76">
        <v>0.09</v>
      </c>
      <c r="AA113" s="79">
        <f t="shared" si="55"/>
        <v>0</v>
      </c>
    </row>
    <row r="114" ht="15.75" customHeight="1">
      <c r="A114" s="85"/>
      <c r="B114" s="115" t="s">
        <v>115</v>
      </c>
      <c r="C114" s="42"/>
      <c r="D114" s="43"/>
      <c r="E114" s="154">
        <v>1.0</v>
      </c>
      <c r="F114" s="155" t="s">
        <v>45</v>
      </c>
      <c r="G114" s="75">
        <v>1.0</v>
      </c>
      <c r="H114" s="75"/>
      <c r="I114" s="75"/>
      <c r="J114" s="75"/>
      <c r="K114" s="75">
        <f t="shared" si="51"/>
        <v>0</v>
      </c>
      <c r="L114" s="76">
        <v>0.09</v>
      </c>
      <c r="M114" s="79">
        <f t="shared" si="52"/>
        <v>0</v>
      </c>
      <c r="N114" s="84"/>
      <c r="O114" s="60"/>
      <c r="P114" s="154">
        <v>1.0</v>
      </c>
      <c r="Q114" s="155" t="s">
        <v>45</v>
      </c>
      <c r="R114" s="75">
        <v>1.0</v>
      </c>
      <c r="S114" s="75"/>
      <c r="T114" s="75"/>
      <c r="U114" s="75"/>
      <c r="V114" s="75">
        <f t="shared" si="53"/>
        <v>0</v>
      </c>
      <c r="W114" s="76">
        <v>0.09</v>
      </c>
      <c r="X114" s="79"/>
      <c r="Y114" s="75">
        <v>0.0</v>
      </c>
      <c r="Z114" s="76">
        <v>0.09</v>
      </c>
      <c r="AA114" s="79"/>
    </row>
    <row r="115" ht="15.75" customHeight="1">
      <c r="A115" s="85"/>
      <c r="B115" s="115" t="s">
        <v>116</v>
      </c>
      <c r="C115" s="42"/>
      <c r="D115" s="43"/>
      <c r="E115" s="154">
        <v>1.0</v>
      </c>
      <c r="F115" s="155" t="s">
        <v>45</v>
      </c>
      <c r="G115" s="75">
        <v>1.0</v>
      </c>
      <c r="H115" s="75"/>
      <c r="I115" s="75"/>
      <c r="J115" s="75"/>
      <c r="K115" s="75">
        <f t="shared" si="51"/>
        <v>0</v>
      </c>
      <c r="L115" s="76">
        <v>0.09</v>
      </c>
      <c r="M115" s="79">
        <f t="shared" si="52"/>
        <v>0</v>
      </c>
      <c r="N115" s="84"/>
      <c r="O115" s="60"/>
      <c r="P115" s="154">
        <v>1.0</v>
      </c>
      <c r="Q115" s="155" t="s">
        <v>45</v>
      </c>
      <c r="R115" s="75">
        <v>1.0</v>
      </c>
      <c r="S115" s="75"/>
      <c r="T115" s="75"/>
      <c r="U115" s="75"/>
      <c r="V115" s="75">
        <f t="shared" si="53"/>
        <v>0</v>
      </c>
      <c r="W115" s="76">
        <v>0.09</v>
      </c>
      <c r="X115" s="79">
        <f t="shared" ref="X115:X120" si="56">V115/(1-W115)</f>
        <v>0</v>
      </c>
      <c r="Y115" s="75">
        <v>0.0</v>
      </c>
      <c r="Z115" s="76">
        <v>0.09</v>
      </c>
      <c r="AA115" s="79">
        <f t="shared" ref="AA115:AA120" si="57">Y115/(1-Z115)</f>
        <v>0</v>
      </c>
    </row>
    <row r="116" ht="15.75" customHeight="1">
      <c r="A116" s="85"/>
      <c r="B116" s="115" t="s">
        <v>117</v>
      </c>
      <c r="C116" s="42"/>
      <c r="D116" s="43"/>
      <c r="E116" s="154">
        <v>1.0</v>
      </c>
      <c r="F116" s="155" t="s">
        <v>45</v>
      </c>
      <c r="G116" s="75">
        <v>1.0</v>
      </c>
      <c r="H116" s="75"/>
      <c r="I116" s="75"/>
      <c r="J116" s="75"/>
      <c r="K116" s="75">
        <f t="shared" si="51"/>
        <v>0</v>
      </c>
      <c r="L116" s="76">
        <v>0.09</v>
      </c>
      <c r="M116" s="79">
        <f t="shared" si="52"/>
        <v>0</v>
      </c>
      <c r="N116" s="84"/>
      <c r="O116" s="60"/>
      <c r="P116" s="154">
        <v>1.0</v>
      </c>
      <c r="Q116" s="155" t="s">
        <v>45</v>
      </c>
      <c r="R116" s="75">
        <v>1.0</v>
      </c>
      <c r="S116" s="75"/>
      <c r="T116" s="75"/>
      <c r="U116" s="75"/>
      <c r="V116" s="75">
        <f t="shared" si="53"/>
        <v>0</v>
      </c>
      <c r="W116" s="76">
        <v>0.09</v>
      </c>
      <c r="X116" s="79">
        <f t="shared" si="56"/>
        <v>0</v>
      </c>
      <c r="Y116" s="75">
        <v>0.0</v>
      </c>
      <c r="Z116" s="76">
        <v>0.09</v>
      </c>
      <c r="AA116" s="79">
        <f t="shared" si="57"/>
        <v>0</v>
      </c>
    </row>
    <row r="117" ht="15.75" customHeight="1">
      <c r="A117" s="85"/>
      <c r="B117" s="115" t="s">
        <v>118</v>
      </c>
      <c r="C117" s="42"/>
      <c r="D117" s="43"/>
      <c r="E117" s="154">
        <v>1.0</v>
      </c>
      <c r="F117" s="155" t="s">
        <v>45</v>
      </c>
      <c r="G117" s="75">
        <v>1.0</v>
      </c>
      <c r="H117" s="75"/>
      <c r="I117" s="75"/>
      <c r="J117" s="75"/>
      <c r="K117" s="75">
        <f t="shared" si="51"/>
        <v>0</v>
      </c>
      <c r="L117" s="76">
        <v>0.09</v>
      </c>
      <c r="M117" s="79">
        <f t="shared" si="52"/>
        <v>0</v>
      </c>
      <c r="N117" s="84"/>
      <c r="O117" s="60"/>
      <c r="P117" s="154">
        <v>1.0</v>
      </c>
      <c r="Q117" s="155" t="s">
        <v>45</v>
      </c>
      <c r="R117" s="75">
        <v>1.0</v>
      </c>
      <c r="S117" s="75"/>
      <c r="T117" s="75"/>
      <c r="U117" s="75"/>
      <c r="V117" s="75">
        <f t="shared" si="53"/>
        <v>0</v>
      </c>
      <c r="W117" s="76">
        <v>0.09</v>
      </c>
      <c r="X117" s="79">
        <f t="shared" si="56"/>
        <v>0</v>
      </c>
      <c r="Y117" s="75">
        <v>0.0</v>
      </c>
      <c r="Z117" s="76">
        <v>0.09</v>
      </c>
      <c r="AA117" s="79">
        <f t="shared" si="57"/>
        <v>0</v>
      </c>
    </row>
    <row r="118" ht="15.75" customHeight="1">
      <c r="A118" s="85"/>
      <c r="B118" s="115" t="s">
        <v>119</v>
      </c>
      <c r="C118" s="42"/>
      <c r="D118" s="43"/>
      <c r="E118" s="154">
        <v>1.0</v>
      </c>
      <c r="F118" s="155" t="s">
        <v>45</v>
      </c>
      <c r="G118" s="75">
        <v>1.0</v>
      </c>
      <c r="H118" s="75"/>
      <c r="I118" s="75"/>
      <c r="J118" s="75"/>
      <c r="K118" s="75">
        <f t="shared" si="51"/>
        <v>0</v>
      </c>
      <c r="L118" s="76">
        <v>0.09</v>
      </c>
      <c r="M118" s="79">
        <f t="shared" si="52"/>
        <v>0</v>
      </c>
      <c r="N118" s="84"/>
      <c r="O118" s="60"/>
      <c r="P118" s="154">
        <v>1.0</v>
      </c>
      <c r="Q118" s="155" t="s">
        <v>45</v>
      </c>
      <c r="R118" s="75">
        <v>1.0</v>
      </c>
      <c r="S118" s="75"/>
      <c r="T118" s="75"/>
      <c r="U118" s="75"/>
      <c r="V118" s="75">
        <f t="shared" si="53"/>
        <v>0</v>
      </c>
      <c r="W118" s="76">
        <v>0.09</v>
      </c>
      <c r="X118" s="79">
        <f t="shared" si="56"/>
        <v>0</v>
      </c>
      <c r="Y118" s="75">
        <v>0.0</v>
      </c>
      <c r="Z118" s="76">
        <v>0.09</v>
      </c>
      <c r="AA118" s="79">
        <f t="shared" si="57"/>
        <v>0</v>
      </c>
    </row>
    <row r="119" ht="15.75" customHeight="1">
      <c r="A119" s="85"/>
      <c r="B119" s="115" t="s">
        <v>120</v>
      </c>
      <c r="C119" s="42"/>
      <c r="D119" s="43"/>
      <c r="E119" s="154">
        <v>1.0</v>
      </c>
      <c r="F119" s="155" t="s">
        <v>45</v>
      </c>
      <c r="G119" s="75">
        <v>1.0</v>
      </c>
      <c r="H119" s="75"/>
      <c r="I119" s="75"/>
      <c r="J119" s="75"/>
      <c r="K119" s="75">
        <f t="shared" si="51"/>
        <v>0</v>
      </c>
      <c r="L119" s="76">
        <v>0.09</v>
      </c>
      <c r="M119" s="79">
        <f t="shared" si="52"/>
        <v>0</v>
      </c>
      <c r="N119" s="84"/>
      <c r="O119" s="60"/>
      <c r="P119" s="154">
        <v>1.0</v>
      </c>
      <c r="Q119" s="155" t="s">
        <v>45</v>
      </c>
      <c r="R119" s="75">
        <v>1.0</v>
      </c>
      <c r="S119" s="75"/>
      <c r="T119" s="75"/>
      <c r="U119" s="75"/>
      <c r="V119" s="75">
        <f t="shared" si="53"/>
        <v>0</v>
      </c>
      <c r="W119" s="76">
        <v>0.09</v>
      </c>
      <c r="X119" s="79">
        <f t="shared" si="56"/>
        <v>0</v>
      </c>
      <c r="Y119" s="75">
        <v>0.0</v>
      </c>
      <c r="Z119" s="76">
        <v>0.09</v>
      </c>
      <c r="AA119" s="79">
        <f t="shared" si="57"/>
        <v>0</v>
      </c>
    </row>
    <row r="120" ht="15.75" customHeight="1">
      <c r="A120" s="85"/>
      <c r="B120" s="69" t="s">
        <v>121</v>
      </c>
      <c r="C120" s="70"/>
      <c r="D120" s="71"/>
      <c r="E120" s="174">
        <v>1.0</v>
      </c>
      <c r="F120" s="155" t="s">
        <v>45</v>
      </c>
      <c r="G120" s="175">
        <v>1.0</v>
      </c>
      <c r="H120" s="175"/>
      <c r="I120" s="175"/>
      <c r="J120" s="175"/>
      <c r="K120" s="75">
        <f t="shared" si="51"/>
        <v>0</v>
      </c>
      <c r="L120" s="76">
        <v>0.09</v>
      </c>
      <c r="M120" s="79">
        <f t="shared" si="52"/>
        <v>0</v>
      </c>
      <c r="N120" s="84"/>
      <c r="O120" s="60"/>
      <c r="P120" s="174">
        <v>1.0</v>
      </c>
      <c r="Q120" s="155" t="s">
        <v>45</v>
      </c>
      <c r="R120" s="175">
        <v>1.0</v>
      </c>
      <c r="S120" s="175"/>
      <c r="T120" s="175"/>
      <c r="U120" s="175"/>
      <c r="V120" s="75">
        <f t="shared" si="53"/>
        <v>0</v>
      </c>
      <c r="W120" s="76">
        <v>0.09</v>
      </c>
      <c r="X120" s="79">
        <f t="shared" si="56"/>
        <v>0</v>
      </c>
      <c r="Y120" s="75">
        <v>0.0</v>
      </c>
      <c r="Z120" s="76">
        <v>0.09</v>
      </c>
      <c r="AA120" s="79">
        <f t="shared" si="57"/>
        <v>0</v>
      </c>
    </row>
    <row r="121" ht="15.75" customHeight="1">
      <c r="A121" s="85"/>
      <c r="B121" s="85"/>
      <c r="C121" s="85"/>
      <c r="D121" s="85"/>
      <c r="E121" s="88"/>
      <c r="F121" s="95"/>
      <c r="G121" s="90"/>
      <c r="H121" s="90"/>
      <c r="I121" s="91"/>
      <c r="J121" s="91"/>
      <c r="K121" s="91"/>
      <c r="L121" s="92" t="s">
        <v>122</v>
      </c>
      <c r="M121" s="93">
        <f>SUM(M41:M120)</f>
        <v>1957802.198</v>
      </c>
      <c r="N121" s="94"/>
      <c r="O121" s="60"/>
      <c r="P121" s="95"/>
      <c r="Q121" s="95"/>
      <c r="R121" s="90"/>
      <c r="S121" s="90"/>
      <c r="T121" s="91"/>
      <c r="U121" s="91"/>
      <c r="V121" s="91"/>
      <c r="W121" s="92" t="s">
        <v>122</v>
      </c>
      <c r="X121" s="93">
        <f>SUM(X41:X120)</f>
        <v>1865494.505</v>
      </c>
      <c r="Y121" s="131"/>
      <c r="Z121" s="92" t="s">
        <v>122</v>
      </c>
      <c r="AA121" s="93">
        <f>SUM(AA41:AA120)</f>
        <v>0</v>
      </c>
    </row>
    <row r="122" ht="9.75" customHeight="1">
      <c r="A122" s="96"/>
      <c r="B122" s="96"/>
      <c r="C122" s="96"/>
      <c r="D122" s="96"/>
      <c r="E122" s="176"/>
      <c r="F122" s="137"/>
      <c r="G122" s="96"/>
      <c r="H122" s="96"/>
      <c r="I122" s="96"/>
      <c r="J122" s="96"/>
      <c r="K122" s="96"/>
      <c r="L122" s="96"/>
      <c r="M122" s="138"/>
      <c r="N122" s="177"/>
      <c r="O122" s="60"/>
      <c r="P122" s="137"/>
      <c r="Q122" s="137"/>
      <c r="R122" s="96"/>
      <c r="S122" s="96"/>
      <c r="T122" s="96"/>
      <c r="U122" s="96"/>
      <c r="V122" s="96"/>
      <c r="W122" s="96"/>
      <c r="X122" s="138"/>
      <c r="Y122" s="139"/>
      <c r="Z122" s="96"/>
      <c r="AA122" s="139"/>
    </row>
    <row r="123" ht="15.75" customHeight="1">
      <c r="A123" s="61" t="s">
        <v>123</v>
      </c>
      <c r="B123" s="62"/>
      <c r="C123" s="62"/>
      <c r="D123" s="63"/>
      <c r="E123" s="178"/>
      <c r="F123" s="179"/>
      <c r="G123" s="180"/>
      <c r="H123" s="180"/>
      <c r="I123" s="180"/>
      <c r="J123" s="180"/>
      <c r="K123" s="180"/>
      <c r="L123" s="180"/>
      <c r="M123" s="181"/>
      <c r="N123" s="182"/>
      <c r="O123" s="60"/>
      <c r="P123" s="183"/>
      <c r="Q123" s="183"/>
      <c r="R123" s="184"/>
      <c r="S123" s="184"/>
      <c r="T123" s="184"/>
      <c r="U123" s="184"/>
      <c r="V123" s="184"/>
      <c r="W123" s="184"/>
      <c r="X123" s="185"/>
      <c r="Y123" s="184"/>
      <c r="Z123" s="184"/>
      <c r="AA123" s="186"/>
    </row>
    <row r="124" ht="15.75" customHeight="1">
      <c r="A124" s="105"/>
      <c r="B124" s="145" t="s">
        <v>124</v>
      </c>
      <c r="C124" s="146"/>
      <c r="D124" s="147"/>
      <c r="E124" s="159"/>
      <c r="F124" s="160"/>
      <c r="G124" s="161"/>
      <c r="H124" s="161"/>
      <c r="I124" s="161"/>
      <c r="J124" s="161"/>
      <c r="K124" s="161"/>
      <c r="L124" s="161"/>
      <c r="M124" s="162"/>
      <c r="N124" s="164"/>
      <c r="O124" s="60"/>
      <c r="P124" s="123"/>
      <c r="Q124" s="123"/>
      <c r="R124" s="124"/>
      <c r="S124" s="124"/>
      <c r="T124" s="124"/>
      <c r="U124" s="124"/>
      <c r="V124" s="124"/>
      <c r="W124" s="124"/>
      <c r="X124" s="125"/>
      <c r="Y124" s="125"/>
      <c r="Z124" s="124"/>
      <c r="AA124" s="125"/>
    </row>
    <row r="125" ht="15.75" customHeight="1">
      <c r="A125" s="85"/>
      <c r="B125" s="151" t="s">
        <v>125</v>
      </c>
      <c r="C125" s="152"/>
      <c r="D125" s="153"/>
      <c r="E125" s="116">
        <v>1.0</v>
      </c>
      <c r="F125" s="155" t="s">
        <v>45</v>
      </c>
      <c r="G125" s="117">
        <v>1.0</v>
      </c>
      <c r="H125" s="117"/>
      <c r="I125" s="117"/>
      <c r="J125" s="117"/>
      <c r="K125" s="75">
        <f t="shared" ref="K125:K127" si="58">(E125*G125*H125)+(I125*J125*E125*G125)</f>
        <v>0</v>
      </c>
      <c r="L125" s="76">
        <v>0.09</v>
      </c>
      <c r="M125" s="79">
        <f t="shared" ref="M125:M127" si="59">K125/(1-L125)</f>
        <v>0</v>
      </c>
      <c r="N125" s="187"/>
      <c r="O125" s="60"/>
      <c r="P125" s="116">
        <v>1.0</v>
      </c>
      <c r="Q125" s="155" t="s">
        <v>45</v>
      </c>
      <c r="R125" s="117">
        <v>1.0</v>
      </c>
      <c r="S125" s="117"/>
      <c r="T125" s="117"/>
      <c r="U125" s="117"/>
      <c r="V125" s="75">
        <f t="shared" ref="V125:V127" si="60">(P125*R125*S125)+(T125*U125*P125*R125)</f>
        <v>0</v>
      </c>
      <c r="W125" s="76">
        <v>0.09</v>
      </c>
      <c r="X125" s="79">
        <f t="shared" ref="X125:X127" si="61">V125/(1-W125)</f>
        <v>0</v>
      </c>
      <c r="Y125" s="75">
        <v>0.0</v>
      </c>
      <c r="Z125" s="76">
        <v>0.09</v>
      </c>
      <c r="AA125" s="79">
        <f t="shared" ref="AA125:AA127" si="62">Y125/(1-Z125)</f>
        <v>0</v>
      </c>
    </row>
    <row r="126" ht="15.75" customHeight="1">
      <c r="A126" s="85"/>
      <c r="B126" s="115" t="s">
        <v>126</v>
      </c>
      <c r="C126" s="42"/>
      <c r="D126" s="43"/>
      <c r="E126" s="154">
        <v>1.0</v>
      </c>
      <c r="F126" s="155" t="s">
        <v>45</v>
      </c>
      <c r="G126" s="75">
        <v>1.0</v>
      </c>
      <c r="H126" s="75"/>
      <c r="I126" s="75"/>
      <c r="J126" s="75"/>
      <c r="K126" s="75">
        <f t="shared" si="58"/>
        <v>0</v>
      </c>
      <c r="L126" s="76">
        <v>0.09</v>
      </c>
      <c r="M126" s="79">
        <f t="shared" si="59"/>
        <v>0</v>
      </c>
      <c r="N126" s="187"/>
      <c r="O126" s="60"/>
      <c r="P126" s="154">
        <v>1.0</v>
      </c>
      <c r="Q126" s="155" t="s">
        <v>45</v>
      </c>
      <c r="R126" s="75">
        <v>1.0</v>
      </c>
      <c r="S126" s="75"/>
      <c r="T126" s="75"/>
      <c r="U126" s="75"/>
      <c r="V126" s="75">
        <f t="shared" si="60"/>
        <v>0</v>
      </c>
      <c r="W126" s="76">
        <v>0.09</v>
      </c>
      <c r="X126" s="79">
        <f t="shared" si="61"/>
        <v>0</v>
      </c>
      <c r="Y126" s="75">
        <v>0.0</v>
      </c>
      <c r="Z126" s="76">
        <v>0.09</v>
      </c>
      <c r="AA126" s="79">
        <f t="shared" si="62"/>
        <v>0</v>
      </c>
    </row>
    <row r="127" ht="15.75" customHeight="1">
      <c r="A127" s="85"/>
      <c r="B127" s="69" t="s">
        <v>127</v>
      </c>
      <c r="C127" s="70"/>
      <c r="D127" s="71"/>
      <c r="E127" s="155">
        <v>1.0</v>
      </c>
      <c r="F127" s="155" t="s">
        <v>45</v>
      </c>
      <c r="G127" s="156">
        <v>1.0</v>
      </c>
      <c r="H127" s="156"/>
      <c r="I127" s="156"/>
      <c r="J127" s="156"/>
      <c r="K127" s="75">
        <f t="shared" si="58"/>
        <v>0</v>
      </c>
      <c r="L127" s="76">
        <v>0.09</v>
      </c>
      <c r="M127" s="79">
        <f t="shared" si="59"/>
        <v>0</v>
      </c>
      <c r="N127" s="187"/>
      <c r="O127" s="60"/>
      <c r="P127" s="155">
        <v>1.0</v>
      </c>
      <c r="Q127" s="155" t="s">
        <v>45</v>
      </c>
      <c r="R127" s="156">
        <v>1.0</v>
      </c>
      <c r="S127" s="156"/>
      <c r="T127" s="156"/>
      <c r="U127" s="156"/>
      <c r="V127" s="75">
        <f t="shared" si="60"/>
        <v>0</v>
      </c>
      <c r="W127" s="76">
        <v>0.09</v>
      </c>
      <c r="X127" s="79">
        <f t="shared" si="61"/>
        <v>0</v>
      </c>
      <c r="Y127" s="75">
        <v>0.0</v>
      </c>
      <c r="Z127" s="76">
        <v>0.09</v>
      </c>
      <c r="AA127" s="79">
        <f t="shared" si="62"/>
        <v>0</v>
      </c>
    </row>
    <row r="128" ht="15.75" customHeight="1">
      <c r="A128" s="118"/>
      <c r="B128" s="126" t="s">
        <v>128</v>
      </c>
      <c r="C128" s="157"/>
      <c r="D128" s="158"/>
      <c r="E128" s="159"/>
      <c r="F128" s="160"/>
      <c r="G128" s="161"/>
      <c r="H128" s="161"/>
      <c r="I128" s="161"/>
      <c r="J128" s="161"/>
      <c r="K128" s="161"/>
      <c r="L128" s="161"/>
      <c r="M128" s="162"/>
      <c r="N128" s="164"/>
      <c r="O128" s="60"/>
      <c r="P128" s="123"/>
      <c r="Q128" s="123"/>
      <c r="R128" s="124"/>
      <c r="S128" s="124"/>
      <c r="T128" s="124"/>
      <c r="U128" s="124"/>
      <c r="V128" s="124"/>
      <c r="W128" s="124"/>
      <c r="X128" s="125"/>
      <c r="Y128" s="125"/>
      <c r="Z128" s="124"/>
      <c r="AA128" s="125"/>
    </row>
    <row r="129" ht="15.75" customHeight="1">
      <c r="A129" s="85"/>
      <c r="B129" s="151" t="s">
        <v>129</v>
      </c>
      <c r="C129" s="152"/>
      <c r="D129" s="153"/>
      <c r="E129" s="116">
        <v>1.0</v>
      </c>
      <c r="F129" s="155" t="s">
        <v>45</v>
      </c>
      <c r="G129" s="117">
        <v>1.0</v>
      </c>
      <c r="H129" s="117"/>
      <c r="I129" s="117"/>
      <c r="J129" s="117"/>
      <c r="K129" s="75">
        <f t="shared" ref="K129:K135" si="63">(E129*G129*H129)+(I129*J129*E129*G129)</f>
        <v>0</v>
      </c>
      <c r="L129" s="76">
        <v>0.09</v>
      </c>
      <c r="M129" s="79">
        <f t="shared" ref="M129:M135" si="64">K129/(1-L129)</f>
        <v>0</v>
      </c>
      <c r="N129" s="84"/>
      <c r="O129" s="60"/>
      <c r="P129" s="116">
        <v>1.0</v>
      </c>
      <c r="Q129" s="155" t="s">
        <v>45</v>
      </c>
      <c r="R129" s="117">
        <v>1.0</v>
      </c>
      <c r="S129" s="117"/>
      <c r="T129" s="117"/>
      <c r="U129" s="117"/>
      <c r="V129" s="75">
        <f t="shared" ref="V129:V135" si="65">(P129*R129*S129)+(T129*U129*P129*R129)</f>
        <v>0</v>
      </c>
      <c r="W129" s="76">
        <v>0.09</v>
      </c>
      <c r="X129" s="79">
        <f t="shared" ref="X129:X135" si="66">V129/(1-W129)</f>
        <v>0</v>
      </c>
      <c r="Y129" s="75">
        <v>0.0</v>
      </c>
      <c r="Z129" s="76">
        <v>0.09</v>
      </c>
      <c r="AA129" s="79">
        <f t="shared" ref="AA129:AA135" si="67">Y129/(1-Z129)</f>
        <v>0</v>
      </c>
    </row>
    <row r="130" ht="15.75" customHeight="1">
      <c r="A130" s="85"/>
      <c r="B130" s="115" t="s">
        <v>130</v>
      </c>
      <c r="C130" s="42"/>
      <c r="D130" s="43"/>
      <c r="E130" s="154">
        <v>1.0</v>
      </c>
      <c r="F130" s="155" t="s">
        <v>45</v>
      </c>
      <c r="G130" s="75">
        <v>1.0</v>
      </c>
      <c r="H130" s="75"/>
      <c r="I130" s="75"/>
      <c r="J130" s="75"/>
      <c r="K130" s="75">
        <f t="shared" si="63"/>
        <v>0</v>
      </c>
      <c r="L130" s="76">
        <v>0.09</v>
      </c>
      <c r="M130" s="79">
        <f t="shared" si="64"/>
        <v>0</v>
      </c>
      <c r="N130" s="84"/>
      <c r="O130" s="60"/>
      <c r="P130" s="154">
        <v>1.0</v>
      </c>
      <c r="Q130" s="155" t="s">
        <v>45</v>
      </c>
      <c r="R130" s="75">
        <v>1.0</v>
      </c>
      <c r="S130" s="75"/>
      <c r="T130" s="75"/>
      <c r="U130" s="75"/>
      <c r="V130" s="75">
        <f t="shared" si="65"/>
        <v>0</v>
      </c>
      <c r="W130" s="76">
        <v>0.09</v>
      </c>
      <c r="X130" s="79">
        <f t="shared" si="66"/>
        <v>0</v>
      </c>
      <c r="Y130" s="75">
        <v>0.0</v>
      </c>
      <c r="Z130" s="76">
        <v>0.09</v>
      </c>
      <c r="AA130" s="79">
        <f t="shared" si="67"/>
        <v>0</v>
      </c>
    </row>
    <row r="131" ht="15.75" customHeight="1">
      <c r="A131" s="85"/>
      <c r="B131" s="115" t="s">
        <v>131</v>
      </c>
      <c r="C131" s="42"/>
      <c r="D131" s="43"/>
      <c r="E131" s="154">
        <v>1.0</v>
      </c>
      <c r="F131" s="155" t="s">
        <v>45</v>
      </c>
      <c r="G131" s="75">
        <v>1.0</v>
      </c>
      <c r="H131" s="75"/>
      <c r="I131" s="75"/>
      <c r="J131" s="75"/>
      <c r="K131" s="75">
        <f t="shared" si="63"/>
        <v>0</v>
      </c>
      <c r="L131" s="76">
        <v>0.09</v>
      </c>
      <c r="M131" s="79">
        <f t="shared" si="64"/>
        <v>0</v>
      </c>
      <c r="N131" s="84"/>
      <c r="O131" s="60"/>
      <c r="P131" s="154">
        <v>1.0</v>
      </c>
      <c r="Q131" s="155" t="s">
        <v>45</v>
      </c>
      <c r="R131" s="75">
        <v>1.0</v>
      </c>
      <c r="S131" s="75"/>
      <c r="T131" s="75"/>
      <c r="U131" s="75"/>
      <c r="V131" s="75">
        <f t="shared" si="65"/>
        <v>0</v>
      </c>
      <c r="W131" s="76">
        <v>0.09</v>
      </c>
      <c r="X131" s="79">
        <f t="shared" si="66"/>
        <v>0</v>
      </c>
      <c r="Y131" s="75">
        <v>0.0</v>
      </c>
      <c r="Z131" s="76">
        <v>0.09</v>
      </c>
      <c r="AA131" s="79">
        <f t="shared" si="67"/>
        <v>0</v>
      </c>
    </row>
    <row r="132" ht="15.75" customHeight="1">
      <c r="A132" s="85"/>
      <c r="B132" s="69" t="s">
        <v>132</v>
      </c>
      <c r="C132" s="70"/>
      <c r="D132" s="71"/>
      <c r="E132" s="154">
        <v>1.0</v>
      </c>
      <c r="F132" s="155" t="s">
        <v>45</v>
      </c>
      <c r="G132" s="75">
        <v>1.0</v>
      </c>
      <c r="H132" s="156"/>
      <c r="I132" s="156"/>
      <c r="J132" s="156"/>
      <c r="K132" s="75">
        <f t="shared" si="63"/>
        <v>0</v>
      </c>
      <c r="L132" s="76">
        <v>0.09</v>
      </c>
      <c r="M132" s="79">
        <f t="shared" si="64"/>
        <v>0</v>
      </c>
      <c r="N132" s="84"/>
      <c r="O132" s="60"/>
      <c r="P132" s="154">
        <v>1.0</v>
      </c>
      <c r="Q132" s="155" t="s">
        <v>45</v>
      </c>
      <c r="R132" s="75">
        <v>1.0</v>
      </c>
      <c r="S132" s="156"/>
      <c r="T132" s="156"/>
      <c r="U132" s="156"/>
      <c r="V132" s="75">
        <f t="shared" si="65"/>
        <v>0</v>
      </c>
      <c r="W132" s="76">
        <v>0.09</v>
      </c>
      <c r="X132" s="79">
        <f t="shared" si="66"/>
        <v>0</v>
      </c>
      <c r="Y132" s="75">
        <v>0.0</v>
      </c>
      <c r="Z132" s="76">
        <v>0.09</v>
      </c>
      <c r="AA132" s="79">
        <f t="shared" si="67"/>
        <v>0</v>
      </c>
    </row>
    <row r="133" ht="15.75" customHeight="1">
      <c r="A133" s="85"/>
      <c r="B133" s="69" t="s">
        <v>133</v>
      </c>
      <c r="C133" s="70"/>
      <c r="D133" s="71"/>
      <c r="E133" s="154">
        <v>1.0</v>
      </c>
      <c r="F133" s="155" t="s">
        <v>45</v>
      </c>
      <c r="G133" s="75">
        <v>1.0</v>
      </c>
      <c r="H133" s="156">
        <v>40000.0</v>
      </c>
      <c r="I133" s="156"/>
      <c r="J133" s="156"/>
      <c r="K133" s="75">
        <f t="shared" si="63"/>
        <v>40000</v>
      </c>
      <c r="L133" s="76">
        <v>0.09</v>
      </c>
      <c r="M133" s="79">
        <f t="shared" si="64"/>
        <v>43956.04396</v>
      </c>
      <c r="N133" s="84"/>
      <c r="O133" s="60"/>
      <c r="P133" s="154">
        <v>1.0</v>
      </c>
      <c r="Q133" s="155" t="s">
        <v>45</v>
      </c>
      <c r="R133" s="75">
        <v>1.0</v>
      </c>
      <c r="S133" s="156">
        <v>40000.0</v>
      </c>
      <c r="T133" s="156"/>
      <c r="U133" s="156"/>
      <c r="V133" s="75">
        <f t="shared" si="65"/>
        <v>40000</v>
      </c>
      <c r="W133" s="76">
        <v>0.09</v>
      </c>
      <c r="X133" s="79">
        <f t="shared" si="66"/>
        <v>43956.04396</v>
      </c>
      <c r="Y133" s="75">
        <v>0.0</v>
      </c>
      <c r="Z133" s="76">
        <v>0.09</v>
      </c>
      <c r="AA133" s="79">
        <f t="shared" si="67"/>
        <v>0</v>
      </c>
    </row>
    <row r="134" ht="15.75" customHeight="1">
      <c r="A134" s="85"/>
      <c r="B134" s="69" t="s">
        <v>134</v>
      </c>
      <c r="C134" s="70"/>
      <c r="D134" s="71"/>
      <c r="E134" s="154">
        <v>1.0</v>
      </c>
      <c r="F134" s="155" t="s">
        <v>45</v>
      </c>
      <c r="G134" s="75">
        <v>1.0</v>
      </c>
      <c r="H134" s="156">
        <v>40000.0</v>
      </c>
      <c r="I134" s="156"/>
      <c r="J134" s="156"/>
      <c r="K134" s="75">
        <f t="shared" si="63"/>
        <v>40000</v>
      </c>
      <c r="L134" s="76">
        <v>0.09</v>
      </c>
      <c r="M134" s="79">
        <f t="shared" si="64"/>
        <v>43956.04396</v>
      </c>
      <c r="N134" s="84"/>
      <c r="O134" s="60"/>
      <c r="P134" s="154">
        <v>1.0</v>
      </c>
      <c r="Q134" s="155" t="s">
        <v>45</v>
      </c>
      <c r="R134" s="75">
        <v>1.0</v>
      </c>
      <c r="S134" s="156">
        <v>40000.0</v>
      </c>
      <c r="T134" s="156"/>
      <c r="U134" s="156"/>
      <c r="V134" s="75">
        <f t="shared" si="65"/>
        <v>40000</v>
      </c>
      <c r="W134" s="76">
        <v>0.09</v>
      </c>
      <c r="X134" s="79">
        <f t="shared" si="66"/>
        <v>43956.04396</v>
      </c>
      <c r="Y134" s="75">
        <v>0.0</v>
      </c>
      <c r="Z134" s="76">
        <v>0.09</v>
      </c>
      <c r="AA134" s="79">
        <f t="shared" si="67"/>
        <v>0</v>
      </c>
    </row>
    <row r="135" ht="15.75" customHeight="1">
      <c r="A135" s="85"/>
      <c r="B135" s="69" t="s">
        <v>135</v>
      </c>
      <c r="C135" s="70"/>
      <c r="D135" s="71"/>
      <c r="E135" s="155">
        <v>1.0</v>
      </c>
      <c r="F135" s="155" t="s">
        <v>45</v>
      </c>
      <c r="G135" s="75">
        <v>1.0</v>
      </c>
      <c r="H135" s="156">
        <v>20000.0</v>
      </c>
      <c r="I135" s="156"/>
      <c r="J135" s="156"/>
      <c r="K135" s="75">
        <f t="shared" si="63"/>
        <v>20000</v>
      </c>
      <c r="L135" s="76">
        <v>0.09</v>
      </c>
      <c r="M135" s="79">
        <f t="shared" si="64"/>
        <v>21978.02198</v>
      </c>
      <c r="N135" s="84"/>
      <c r="O135" s="60"/>
      <c r="P135" s="155">
        <v>1.0</v>
      </c>
      <c r="Q135" s="155" t="s">
        <v>45</v>
      </c>
      <c r="R135" s="75">
        <v>1.0</v>
      </c>
      <c r="S135" s="156">
        <v>20000.0</v>
      </c>
      <c r="T135" s="156"/>
      <c r="U135" s="156"/>
      <c r="V135" s="75">
        <f t="shared" si="65"/>
        <v>20000</v>
      </c>
      <c r="W135" s="76">
        <v>0.09</v>
      </c>
      <c r="X135" s="79">
        <f t="shared" si="66"/>
        <v>21978.02198</v>
      </c>
      <c r="Y135" s="75">
        <v>0.0</v>
      </c>
      <c r="Z135" s="76">
        <v>0.09</v>
      </c>
      <c r="AA135" s="79">
        <f t="shared" si="67"/>
        <v>0</v>
      </c>
    </row>
    <row r="136" ht="15.75" customHeight="1">
      <c r="A136" s="118"/>
      <c r="B136" s="126" t="s">
        <v>136</v>
      </c>
      <c r="C136" s="157"/>
      <c r="D136" s="158"/>
      <c r="E136" s="122"/>
      <c r="F136" s="123"/>
      <c r="G136" s="124"/>
      <c r="H136" s="124"/>
      <c r="I136" s="124"/>
      <c r="J136" s="124"/>
      <c r="K136" s="124"/>
      <c r="L136" s="124"/>
      <c r="M136" s="125"/>
      <c r="N136" s="173"/>
      <c r="O136" s="60"/>
      <c r="P136" s="123"/>
      <c r="Q136" s="123"/>
      <c r="R136" s="124"/>
      <c r="S136" s="124"/>
      <c r="T136" s="124"/>
      <c r="U136" s="124"/>
      <c r="V136" s="124"/>
      <c r="W136" s="124"/>
      <c r="X136" s="125"/>
      <c r="Y136" s="125"/>
      <c r="Z136" s="124"/>
      <c r="AA136" s="125"/>
    </row>
    <row r="137" ht="15.75" customHeight="1">
      <c r="A137" s="85"/>
      <c r="B137" s="151" t="s">
        <v>137</v>
      </c>
      <c r="C137" s="152"/>
      <c r="D137" s="153"/>
      <c r="E137" s="116">
        <v>1.0</v>
      </c>
      <c r="F137" s="155" t="s">
        <v>45</v>
      </c>
      <c r="G137" s="117">
        <v>1.0</v>
      </c>
      <c r="H137" s="117"/>
      <c r="I137" s="117"/>
      <c r="J137" s="117"/>
      <c r="K137" s="75">
        <f t="shared" ref="K137:K140" si="68">(E137*G137*H137)+(I137*J137*E137*G137)</f>
        <v>0</v>
      </c>
      <c r="L137" s="76">
        <v>0.09</v>
      </c>
      <c r="M137" s="79">
        <f t="shared" ref="M137:M140" si="69">K137/(1-L137)</f>
        <v>0</v>
      </c>
      <c r="N137" s="84"/>
      <c r="O137" s="60"/>
      <c r="P137" s="116">
        <v>1.0</v>
      </c>
      <c r="Q137" s="155" t="s">
        <v>45</v>
      </c>
      <c r="R137" s="117">
        <v>1.0</v>
      </c>
      <c r="S137" s="117"/>
      <c r="T137" s="117"/>
      <c r="U137" s="117"/>
      <c r="V137" s="75">
        <f t="shared" ref="V137:V140" si="70">(P137*R137*S137)+(T137*U137*P137*R137)</f>
        <v>0</v>
      </c>
      <c r="W137" s="76">
        <v>0.09</v>
      </c>
      <c r="X137" s="79">
        <f t="shared" ref="X137:X140" si="71">V137/(1-W137)</f>
        <v>0</v>
      </c>
      <c r="Y137" s="75">
        <v>0.0</v>
      </c>
      <c r="Z137" s="76">
        <v>0.09</v>
      </c>
      <c r="AA137" s="79">
        <f t="shared" ref="AA137:AA140" si="72">Y137/(1-Z137)</f>
        <v>0</v>
      </c>
    </row>
    <row r="138" ht="15.75" customHeight="1">
      <c r="A138" s="85"/>
      <c r="B138" s="115" t="s">
        <v>138</v>
      </c>
      <c r="C138" s="42"/>
      <c r="D138" s="43"/>
      <c r="E138" s="154">
        <v>1.0</v>
      </c>
      <c r="F138" s="155" t="s">
        <v>45</v>
      </c>
      <c r="G138" s="75">
        <v>1.0</v>
      </c>
      <c r="H138" s="75"/>
      <c r="I138" s="75"/>
      <c r="J138" s="75"/>
      <c r="K138" s="75">
        <f t="shared" si="68"/>
        <v>0</v>
      </c>
      <c r="L138" s="76">
        <v>0.09</v>
      </c>
      <c r="M138" s="79">
        <f t="shared" si="69"/>
        <v>0</v>
      </c>
      <c r="N138" s="84"/>
      <c r="O138" s="60"/>
      <c r="P138" s="154">
        <v>1.0</v>
      </c>
      <c r="Q138" s="155" t="s">
        <v>45</v>
      </c>
      <c r="R138" s="75">
        <v>1.0</v>
      </c>
      <c r="S138" s="75"/>
      <c r="T138" s="75"/>
      <c r="U138" s="75"/>
      <c r="V138" s="75">
        <f t="shared" si="70"/>
        <v>0</v>
      </c>
      <c r="W138" s="76">
        <v>0.09</v>
      </c>
      <c r="X138" s="79">
        <f t="shared" si="71"/>
        <v>0</v>
      </c>
      <c r="Y138" s="75">
        <v>0.0</v>
      </c>
      <c r="Z138" s="76">
        <v>0.09</v>
      </c>
      <c r="AA138" s="79">
        <f t="shared" si="72"/>
        <v>0</v>
      </c>
    </row>
    <row r="139" ht="15.75" customHeight="1">
      <c r="A139" s="85"/>
      <c r="B139" s="115" t="s">
        <v>139</v>
      </c>
      <c r="C139" s="42"/>
      <c r="D139" s="43"/>
      <c r="E139" s="154">
        <v>1.0</v>
      </c>
      <c r="F139" s="155" t="s">
        <v>45</v>
      </c>
      <c r="G139" s="75">
        <v>1.0</v>
      </c>
      <c r="H139" s="75"/>
      <c r="I139" s="75"/>
      <c r="J139" s="75"/>
      <c r="K139" s="75">
        <f t="shared" si="68"/>
        <v>0</v>
      </c>
      <c r="L139" s="76">
        <v>0.09</v>
      </c>
      <c r="M139" s="79">
        <f t="shared" si="69"/>
        <v>0</v>
      </c>
      <c r="N139" s="84"/>
      <c r="O139" s="60"/>
      <c r="P139" s="154">
        <v>1.0</v>
      </c>
      <c r="Q139" s="155" t="s">
        <v>45</v>
      </c>
      <c r="R139" s="75">
        <v>1.0</v>
      </c>
      <c r="S139" s="75"/>
      <c r="T139" s="75"/>
      <c r="U139" s="75"/>
      <c r="V139" s="75">
        <f t="shared" si="70"/>
        <v>0</v>
      </c>
      <c r="W139" s="76">
        <v>0.09</v>
      </c>
      <c r="X139" s="79">
        <f t="shared" si="71"/>
        <v>0</v>
      </c>
      <c r="Y139" s="75">
        <v>0.0</v>
      </c>
      <c r="Z139" s="76">
        <v>0.09</v>
      </c>
      <c r="AA139" s="79">
        <f t="shared" si="72"/>
        <v>0</v>
      </c>
    </row>
    <row r="140" ht="15.75" customHeight="1">
      <c r="A140" s="85"/>
      <c r="B140" s="69" t="s">
        <v>140</v>
      </c>
      <c r="C140" s="70"/>
      <c r="D140" s="71"/>
      <c r="E140" s="155">
        <v>1.0</v>
      </c>
      <c r="F140" s="155" t="s">
        <v>45</v>
      </c>
      <c r="G140" s="156">
        <v>1.0</v>
      </c>
      <c r="H140" s="156"/>
      <c r="I140" s="156"/>
      <c r="J140" s="156"/>
      <c r="K140" s="75">
        <f t="shared" si="68"/>
        <v>0</v>
      </c>
      <c r="L140" s="76">
        <v>0.09</v>
      </c>
      <c r="M140" s="79">
        <f t="shared" si="69"/>
        <v>0</v>
      </c>
      <c r="N140" s="84"/>
      <c r="O140" s="60"/>
      <c r="P140" s="155">
        <v>1.0</v>
      </c>
      <c r="Q140" s="155" t="s">
        <v>45</v>
      </c>
      <c r="R140" s="156">
        <v>1.0</v>
      </c>
      <c r="S140" s="156"/>
      <c r="T140" s="156"/>
      <c r="U140" s="156"/>
      <c r="V140" s="75">
        <f t="shared" si="70"/>
        <v>0</v>
      </c>
      <c r="W140" s="76">
        <v>0.09</v>
      </c>
      <c r="X140" s="79">
        <f t="shared" si="71"/>
        <v>0</v>
      </c>
      <c r="Y140" s="75">
        <v>0.0</v>
      </c>
      <c r="Z140" s="76">
        <v>0.09</v>
      </c>
      <c r="AA140" s="79">
        <f t="shared" si="72"/>
        <v>0</v>
      </c>
    </row>
    <row r="141" ht="15.75" customHeight="1">
      <c r="A141" s="118"/>
      <c r="B141" s="126" t="s">
        <v>141</v>
      </c>
      <c r="C141" s="157"/>
      <c r="D141" s="158"/>
      <c r="E141" s="122"/>
      <c r="F141" s="123"/>
      <c r="G141" s="124"/>
      <c r="H141" s="124"/>
      <c r="I141" s="124"/>
      <c r="J141" s="124"/>
      <c r="K141" s="124"/>
      <c r="L141" s="124"/>
      <c r="M141" s="125"/>
      <c r="N141" s="173"/>
      <c r="O141" s="60"/>
      <c r="P141" s="123"/>
      <c r="Q141" s="123"/>
      <c r="R141" s="124"/>
      <c r="S141" s="124"/>
      <c r="T141" s="124"/>
      <c r="U141" s="124"/>
      <c r="V141" s="124"/>
      <c r="W141" s="124"/>
      <c r="X141" s="125"/>
      <c r="Y141" s="125"/>
      <c r="Z141" s="124"/>
      <c r="AA141" s="125"/>
    </row>
    <row r="142" ht="15.75" customHeight="1">
      <c r="A142" s="85"/>
      <c r="B142" s="188" t="s">
        <v>142</v>
      </c>
      <c r="C142" s="189"/>
      <c r="D142" s="190"/>
      <c r="E142" s="191">
        <v>1.0</v>
      </c>
      <c r="F142" s="155" t="s">
        <v>45</v>
      </c>
      <c r="G142" s="192">
        <v>1.0</v>
      </c>
      <c r="H142" s="192"/>
      <c r="I142" s="192"/>
      <c r="J142" s="192"/>
      <c r="K142" s="75">
        <f>(E142*G142*H142)+(I142*J142*E142*G142)</f>
        <v>0</v>
      </c>
      <c r="L142" s="76">
        <v>0.09</v>
      </c>
      <c r="M142" s="79">
        <f>K142/(1-L142)</f>
        <v>0</v>
      </c>
      <c r="N142" s="84"/>
      <c r="O142" s="60"/>
      <c r="P142" s="191">
        <v>1.0</v>
      </c>
      <c r="Q142" s="155" t="s">
        <v>45</v>
      </c>
      <c r="R142" s="192">
        <v>1.0</v>
      </c>
      <c r="S142" s="192"/>
      <c r="T142" s="192"/>
      <c r="U142" s="192"/>
      <c r="V142" s="75">
        <f>(P142*R142*S142)+(T142*U142*P142*R142)</f>
        <v>0</v>
      </c>
      <c r="W142" s="76">
        <v>0.09</v>
      </c>
      <c r="X142" s="79">
        <f>V142/(1-W142)</f>
        <v>0</v>
      </c>
      <c r="Y142" s="75">
        <v>0.0</v>
      </c>
      <c r="Z142" s="76">
        <v>0.09</v>
      </c>
      <c r="AA142" s="79">
        <f>Y142/(1-Z142)</f>
        <v>0</v>
      </c>
    </row>
    <row r="143" ht="15.75" customHeight="1">
      <c r="A143" s="118"/>
      <c r="B143" s="126" t="s">
        <v>143</v>
      </c>
      <c r="C143" s="157"/>
      <c r="D143" s="158"/>
      <c r="E143" s="122"/>
      <c r="F143" s="123"/>
      <c r="G143" s="124"/>
      <c r="H143" s="124"/>
      <c r="I143" s="124"/>
      <c r="J143" s="124"/>
      <c r="K143" s="124"/>
      <c r="L143" s="124"/>
      <c r="M143" s="125"/>
      <c r="N143" s="173"/>
      <c r="O143" s="60"/>
      <c r="P143" s="123"/>
      <c r="Q143" s="123"/>
      <c r="R143" s="124"/>
      <c r="S143" s="124"/>
      <c r="T143" s="124"/>
      <c r="U143" s="124"/>
      <c r="V143" s="124"/>
      <c r="W143" s="124"/>
      <c r="X143" s="125"/>
      <c r="Y143" s="125"/>
      <c r="Z143" s="124"/>
      <c r="AA143" s="125"/>
    </row>
    <row r="144" ht="15.75" customHeight="1">
      <c r="A144" s="85"/>
      <c r="B144" s="151" t="s">
        <v>144</v>
      </c>
      <c r="C144" s="152"/>
      <c r="D144" s="153"/>
      <c r="E144" s="116">
        <v>1.0</v>
      </c>
      <c r="F144" s="116" t="s">
        <v>145</v>
      </c>
      <c r="G144" s="117">
        <v>1.0</v>
      </c>
      <c r="H144" s="117"/>
      <c r="I144" s="117"/>
      <c r="J144" s="117"/>
      <c r="K144" s="75">
        <f t="shared" ref="K144:K148" si="73">(E144*G144*H144)+(I144*J144*E144*G144)</f>
        <v>0</v>
      </c>
      <c r="L144" s="76">
        <v>0.09</v>
      </c>
      <c r="M144" s="79">
        <f t="shared" ref="M144:M148" si="74">K144/(1-L144)</f>
        <v>0</v>
      </c>
      <c r="N144" s="84"/>
      <c r="O144" s="60"/>
      <c r="P144" s="116">
        <v>1.0</v>
      </c>
      <c r="Q144" s="116" t="s">
        <v>145</v>
      </c>
      <c r="R144" s="117">
        <v>1.0</v>
      </c>
      <c r="S144" s="117"/>
      <c r="T144" s="117"/>
      <c r="U144" s="117"/>
      <c r="V144" s="75">
        <f t="shared" ref="V144:V148" si="75">(P144*R144*S144)+(T144*U144*P144*R144)</f>
        <v>0</v>
      </c>
      <c r="W144" s="76">
        <v>0.09</v>
      </c>
      <c r="X144" s="79">
        <f t="shared" ref="X144:X148" si="76">V144/(1-W144)</f>
        <v>0</v>
      </c>
      <c r="Y144" s="75">
        <v>0.0</v>
      </c>
      <c r="Z144" s="76">
        <v>0.09</v>
      </c>
      <c r="AA144" s="79">
        <f t="shared" ref="AA144:AA148" si="77">Y144/(1-Z144)</f>
        <v>0</v>
      </c>
    </row>
    <row r="145" ht="15.75" customHeight="1">
      <c r="A145" s="85"/>
      <c r="B145" s="115" t="s">
        <v>146</v>
      </c>
      <c r="C145" s="42"/>
      <c r="D145" s="43"/>
      <c r="E145" s="116">
        <v>1.0</v>
      </c>
      <c r="F145" s="155" t="s">
        <v>45</v>
      </c>
      <c r="G145" s="117">
        <v>1.0</v>
      </c>
      <c r="H145" s="117"/>
      <c r="I145" s="75"/>
      <c r="J145" s="75"/>
      <c r="K145" s="75">
        <f t="shared" si="73"/>
        <v>0</v>
      </c>
      <c r="L145" s="76">
        <v>0.09</v>
      </c>
      <c r="M145" s="79">
        <f t="shared" si="74"/>
        <v>0</v>
      </c>
      <c r="N145" s="84"/>
      <c r="O145" s="60"/>
      <c r="P145" s="116">
        <v>1.0</v>
      </c>
      <c r="Q145" s="155" t="s">
        <v>45</v>
      </c>
      <c r="R145" s="117">
        <v>1.0</v>
      </c>
      <c r="S145" s="117"/>
      <c r="T145" s="75"/>
      <c r="U145" s="75"/>
      <c r="V145" s="75">
        <f t="shared" si="75"/>
        <v>0</v>
      </c>
      <c r="W145" s="76">
        <v>0.09</v>
      </c>
      <c r="X145" s="79">
        <f t="shared" si="76"/>
        <v>0</v>
      </c>
      <c r="Y145" s="75">
        <v>0.0</v>
      </c>
      <c r="Z145" s="76">
        <v>0.09</v>
      </c>
      <c r="AA145" s="79">
        <f t="shared" si="77"/>
        <v>0</v>
      </c>
    </row>
    <row r="146" ht="15.75" customHeight="1">
      <c r="A146" s="85"/>
      <c r="B146" s="115" t="s">
        <v>147</v>
      </c>
      <c r="C146" s="42"/>
      <c r="D146" s="43"/>
      <c r="E146" s="116">
        <v>1.0</v>
      </c>
      <c r="F146" s="155" t="s">
        <v>45</v>
      </c>
      <c r="G146" s="117">
        <v>1.0</v>
      </c>
      <c r="H146" s="117"/>
      <c r="I146" s="75"/>
      <c r="J146" s="75"/>
      <c r="K146" s="75">
        <f t="shared" si="73"/>
        <v>0</v>
      </c>
      <c r="L146" s="76">
        <v>0.09</v>
      </c>
      <c r="M146" s="79">
        <f t="shared" si="74"/>
        <v>0</v>
      </c>
      <c r="N146" s="84"/>
      <c r="O146" s="60"/>
      <c r="P146" s="116">
        <v>1.0</v>
      </c>
      <c r="Q146" s="155" t="s">
        <v>45</v>
      </c>
      <c r="R146" s="117">
        <v>1.0</v>
      </c>
      <c r="S146" s="117"/>
      <c r="T146" s="75"/>
      <c r="U146" s="75"/>
      <c r="V146" s="75">
        <f t="shared" si="75"/>
        <v>0</v>
      </c>
      <c r="W146" s="76">
        <v>0.09</v>
      </c>
      <c r="X146" s="79">
        <f t="shared" si="76"/>
        <v>0</v>
      </c>
      <c r="Y146" s="75">
        <v>0.0</v>
      </c>
      <c r="Z146" s="76">
        <v>0.09</v>
      </c>
      <c r="AA146" s="79">
        <f t="shared" si="77"/>
        <v>0</v>
      </c>
    </row>
    <row r="147" ht="15.75" customHeight="1">
      <c r="A147" s="85"/>
      <c r="B147" s="115" t="s">
        <v>148</v>
      </c>
      <c r="C147" s="42"/>
      <c r="D147" s="43"/>
      <c r="E147" s="116">
        <v>1.0</v>
      </c>
      <c r="F147" s="116" t="s">
        <v>145</v>
      </c>
      <c r="G147" s="117">
        <v>1.0</v>
      </c>
      <c r="H147" s="117"/>
      <c r="I147" s="75"/>
      <c r="J147" s="75"/>
      <c r="K147" s="75">
        <f t="shared" si="73"/>
        <v>0</v>
      </c>
      <c r="L147" s="76">
        <v>0.09</v>
      </c>
      <c r="M147" s="79">
        <f t="shared" si="74"/>
        <v>0</v>
      </c>
      <c r="N147" s="84"/>
      <c r="O147" s="60"/>
      <c r="P147" s="116">
        <v>1.0</v>
      </c>
      <c r="Q147" s="116" t="s">
        <v>145</v>
      </c>
      <c r="R147" s="117">
        <v>1.0</v>
      </c>
      <c r="S147" s="117"/>
      <c r="T147" s="75"/>
      <c r="U147" s="75"/>
      <c r="V147" s="75">
        <f t="shared" si="75"/>
        <v>0</v>
      </c>
      <c r="W147" s="76">
        <v>0.09</v>
      </c>
      <c r="X147" s="79">
        <f t="shared" si="76"/>
        <v>0</v>
      </c>
      <c r="Y147" s="75">
        <v>0.0</v>
      </c>
      <c r="Z147" s="76">
        <v>0.09</v>
      </c>
      <c r="AA147" s="79">
        <f t="shared" si="77"/>
        <v>0</v>
      </c>
    </row>
    <row r="148" ht="15.75" customHeight="1">
      <c r="A148" s="85"/>
      <c r="B148" s="69" t="s">
        <v>149</v>
      </c>
      <c r="C148" s="70"/>
      <c r="D148" s="71"/>
      <c r="E148" s="116">
        <v>1.0</v>
      </c>
      <c r="F148" s="155" t="s">
        <v>45</v>
      </c>
      <c r="G148" s="117">
        <v>1.0</v>
      </c>
      <c r="H148" s="117"/>
      <c r="I148" s="175"/>
      <c r="J148" s="175"/>
      <c r="K148" s="75">
        <f t="shared" si="73"/>
        <v>0</v>
      </c>
      <c r="L148" s="76">
        <v>0.09</v>
      </c>
      <c r="M148" s="79">
        <f t="shared" si="74"/>
        <v>0</v>
      </c>
      <c r="N148" s="84"/>
      <c r="O148" s="60"/>
      <c r="P148" s="116">
        <v>1.0</v>
      </c>
      <c r="Q148" s="155" t="s">
        <v>45</v>
      </c>
      <c r="R148" s="117">
        <v>1.0</v>
      </c>
      <c r="S148" s="117"/>
      <c r="T148" s="175"/>
      <c r="U148" s="175"/>
      <c r="V148" s="75">
        <f t="shared" si="75"/>
        <v>0</v>
      </c>
      <c r="W148" s="76">
        <v>0.09</v>
      </c>
      <c r="X148" s="79">
        <f t="shared" si="76"/>
        <v>0</v>
      </c>
      <c r="Y148" s="75">
        <v>0.0</v>
      </c>
      <c r="Z148" s="76">
        <v>0.09</v>
      </c>
      <c r="AA148" s="79">
        <f t="shared" si="77"/>
        <v>0</v>
      </c>
    </row>
    <row r="149" ht="15.75" customHeight="1">
      <c r="A149" s="85"/>
      <c r="B149" s="85"/>
      <c r="C149" s="85"/>
      <c r="D149" s="85"/>
      <c r="E149" s="88"/>
      <c r="F149" s="95"/>
      <c r="G149" s="90"/>
      <c r="H149" s="90"/>
      <c r="I149" s="91"/>
      <c r="J149" s="91"/>
      <c r="K149" s="91"/>
      <c r="L149" s="92" t="s">
        <v>150</v>
      </c>
      <c r="M149" s="93">
        <f>SUM(M125:M148)</f>
        <v>109890.1099</v>
      </c>
      <c r="N149" s="94"/>
      <c r="O149" s="60"/>
      <c r="P149" s="95"/>
      <c r="Q149" s="95"/>
      <c r="R149" s="90"/>
      <c r="S149" s="90"/>
      <c r="T149" s="91"/>
      <c r="U149" s="91"/>
      <c r="V149" s="91"/>
      <c r="W149" s="92" t="s">
        <v>150</v>
      </c>
      <c r="X149" s="93">
        <f>SUM(X125:X148)</f>
        <v>109890.1099</v>
      </c>
      <c r="Y149" s="131"/>
      <c r="Z149" s="92" t="s">
        <v>150</v>
      </c>
      <c r="AA149" s="93">
        <f>SUM(AA125:AA148)</f>
        <v>0</v>
      </c>
    </row>
    <row r="150" ht="9.75" customHeight="1">
      <c r="A150" s="96"/>
      <c r="B150" s="96"/>
      <c r="C150" s="96"/>
      <c r="D150" s="96"/>
      <c r="E150" s="132"/>
      <c r="F150" s="133"/>
      <c r="G150" s="134"/>
      <c r="H150" s="134"/>
      <c r="I150" s="134"/>
      <c r="J150" s="134"/>
      <c r="K150" s="134"/>
      <c r="L150" s="134"/>
      <c r="M150" s="135"/>
      <c r="N150" s="136"/>
      <c r="O150" s="60"/>
      <c r="P150" s="137"/>
      <c r="Q150" s="137"/>
      <c r="R150" s="96"/>
      <c r="S150" s="96"/>
      <c r="T150" s="96"/>
      <c r="U150" s="96"/>
      <c r="V150" s="96"/>
      <c r="W150" s="96"/>
      <c r="X150" s="138"/>
      <c r="Y150" s="139"/>
      <c r="Z150" s="96"/>
      <c r="AA150" s="139"/>
    </row>
    <row r="151" ht="15.75" customHeight="1">
      <c r="A151" s="61" t="s">
        <v>151</v>
      </c>
      <c r="B151" s="62"/>
      <c r="C151" s="62"/>
      <c r="D151" s="63"/>
      <c r="E151" s="103"/>
      <c r="F151" s="67"/>
      <c r="G151" s="64"/>
      <c r="H151" s="64"/>
      <c r="I151" s="64"/>
      <c r="J151" s="64"/>
      <c r="K151" s="64"/>
      <c r="L151" s="64"/>
      <c r="M151" s="65"/>
      <c r="N151" s="144"/>
      <c r="O151" s="60"/>
      <c r="P151" s="141"/>
      <c r="Q151" s="141"/>
      <c r="R151" s="142"/>
      <c r="S151" s="142"/>
      <c r="T151" s="142"/>
      <c r="U151" s="142"/>
      <c r="V151" s="142"/>
      <c r="W151" s="142"/>
      <c r="X151" s="143"/>
      <c r="Y151" s="143"/>
      <c r="Z151" s="142"/>
      <c r="AA151" s="143"/>
    </row>
    <row r="152" ht="15.75" customHeight="1">
      <c r="A152" s="105"/>
      <c r="B152" s="145" t="s">
        <v>152</v>
      </c>
      <c r="C152" s="146"/>
      <c r="D152" s="147"/>
      <c r="E152" s="109"/>
      <c r="F152" s="110"/>
      <c r="G152" s="111"/>
      <c r="H152" s="111"/>
      <c r="I152" s="111"/>
      <c r="J152" s="111"/>
      <c r="K152" s="111"/>
      <c r="L152" s="111"/>
      <c r="M152" s="112"/>
      <c r="N152" s="113"/>
      <c r="O152" s="60"/>
      <c r="P152" s="148"/>
      <c r="Q152" s="148"/>
      <c r="R152" s="149"/>
      <c r="S152" s="149"/>
      <c r="T152" s="149"/>
      <c r="U152" s="149"/>
      <c r="V152" s="149"/>
      <c r="W152" s="149"/>
      <c r="X152" s="150"/>
      <c r="Y152" s="150"/>
      <c r="Z152" s="149"/>
      <c r="AA152" s="150"/>
    </row>
    <row r="153" ht="15.75" customHeight="1">
      <c r="A153" s="85"/>
      <c r="B153" s="151" t="s">
        <v>153</v>
      </c>
      <c r="C153" s="152"/>
      <c r="D153" s="153"/>
      <c r="E153" s="116">
        <v>1.0</v>
      </c>
      <c r="F153" s="73" t="s">
        <v>29</v>
      </c>
      <c r="G153" s="117">
        <v>1.0</v>
      </c>
      <c r="H153" s="117"/>
      <c r="I153" s="117"/>
      <c r="J153" s="117"/>
      <c r="K153" s="75">
        <f t="shared" ref="K153:K154" si="78">(E153*G153*H153)+(I153*J153*E153*G153)</f>
        <v>0</v>
      </c>
      <c r="L153" s="76">
        <v>0.09</v>
      </c>
      <c r="M153" s="79">
        <f t="shared" ref="M153:M154" si="79">K153/(1-L153)</f>
        <v>0</v>
      </c>
      <c r="N153" s="84"/>
      <c r="O153" s="60"/>
      <c r="P153" s="116">
        <v>1.0</v>
      </c>
      <c r="Q153" s="73" t="s">
        <v>29</v>
      </c>
      <c r="R153" s="117">
        <v>1.0</v>
      </c>
      <c r="S153" s="117"/>
      <c r="T153" s="117"/>
      <c r="U153" s="117"/>
      <c r="V153" s="75">
        <f t="shared" ref="V153:V154" si="80">(P153*R153*S153)+(T153*U153*P153*R153)</f>
        <v>0</v>
      </c>
      <c r="W153" s="76">
        <v>0.09</v>
      </c>
      <c r="X153" s="79">
        <f t="shared" ref="X153:X154" si="81">V153/(1-W153)</f>
        <v>0</v>
      </c>
      <c r="Y153" s="75">
        <v>0.0</v>
      </c>
      <c r="Z153" s="76">
        <v>0.09</v>
      </c>
      <c r="AA153" s="79">
        <f t="shared" ref="AA153:AA154" si="82">Y153/(1-Z153)</f>
        <v>0</v>
      </c>
    </row>
    <row r="154" ht="15.75" customHeight="1">
      <c r="A154" s="85"/>
      <c r="B154" s="69" t="s">
        <v>154</v>
      </c>
      <c r="C154" s="70"/>
      <c r="D154" s="71"/>
      <c r="E154" s="155">
        <v>1.0</v>
      </c>
      <c r="F154" s="73" t="s">
        <v>29</v>
      </c>
      <c r="G154" s="156">
        <v>1.0</v>
      </c>
      <c r="H154" s="156"/>
      <c r="I154" s="156"/>
      <c r="J154" s="156"/>
      <c r="K154" s="75">
        <f t="shared" si="78"/>
        <v>0</v>
      </c>
      <c r="L154" s="76">
        <v>0.09</v>
      </c>
      <c r="M154" s="79">
        <f t="shared" si="79"/>
        <v>0</v>
      </c>
      <c r="N154" s="84"/>
      <c r="O154" s="60"/>
      <c r="P154" s="155">
        <v>1.0</v>
      </c>
      <c r="Q154" s="73" t="s">
        <v>29</v>
      </c>
      <c r="R154" s="156">
        <v>1.0</v>
      </c>
      <c r="S154" s="156"/>
      <c r="T154" s="156"/>
      <c r="U154" s="156"/>
      <c r="V154" s="75">
        <f t="shared" si="80"/>
        <v>0</v>
      </c>
      <c r="W154" s="76">
        <v>0.09</v>
      </c>
      <c r="X154" s="79">
        <f t="shared" si="81"/>
        <v>0</v>
      </c>
      <c r="Y154" s="75">
        <v>0.0</v>
      </c>
      <c r="Z154" s="76">
        <v>0.09</v>
      </c>
      <c r="AA154" s="79">
        <f t="shared" si="82"/>
        <v>0</v>
      </c>
    </row>
    <row r="155" ht="15.75" customHeight="1">
      <c r="A155" s="118"/>
      <c r="B155" s="126" t="s">
        <v>155</v>
      </c>
      <c r="C155" s="157"/>
      <c r="D155" s="158"/>
      <c r="E155" s="122"/>
      <c r="F155" s="123"/>
      <c r="G155" s="124"/>
      <c r="H155" s="124"/>
      <c r="I155" s="124"/>
      <c r="J155" s="124"/>
      <c r="K155" s="124"/>
      <c r="L155" s="124"/>
      <c r="M155" s="125"/>
      <c r="N155" s="173"/>
      <c r="O155" s="60"/>
      <c r="P155" s="123"/>
      <c r="Q155" s="123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</row>
    <row r="156" ht="15.75" customHeight="1">
      <c r="A156" s="85"/>
      <c r="B156" s="151" t="s">
        <v>156</v>
      </c>
      <c r="C156" s="152"/>
      <c r="D156" s="153"/>
      <c r="E156" s="116">
        <v>1.0</v>
      </c>
      <c r="F156" s="73" t="s">
        <v>29</v>
      </c>
      <c r="G156" s="117">
        <v>1.0</v>
      </c>
      <c r="H156" s="117"/>
      <c r="I156" s="117"/>
      <c r="J156" s="117"/>
      <c r="K156" s="75">
        <f t="shared" ref="K156:K157" si="83">(E156*G156*H156)+(I156*J156*E156*G156)</f>
        <v>0</v>
      </c>
      <c r="L156" s="76">
        <v>0.09</v>
      </c>
      <c r="M156" s="79">
        <f t="shared" ref="M156:M157" si="84">K156/(1-L156)</f>
        <v>0</v>
      </c>
      <c r="N156" s="84"/>
      <c r="O156" s="60"/>
      <c r="P156" s="116">
        <v>1.0</v>
      </c>
      <c r="Q156" s="73" t="s">
        <v>29</v>
      </c>
      <c r="R156" s="117">
        <v>1.0</v>
      </c>
      <c r="S156" s="117"/>
      <c r="T156" s="117"/>
      <c r="U156" s="117"/>
      <c r="V156" s="75">
        <f t="shared" ref="V156:V157" si="85">(P156*R156*S156)+(T156*U156*P156*R156)</f>
        <v>0</v>
      </c>
      <c r="W156" s="76">
        <v>0.09</v>
      </c>
      <c r="X156" s="79">
        <f t="shared" ref="X156:X157" si="86">V156/(1-W156)</f>
        <v>0</v>
      </c>
      <c r="Y156" s="75">
        <v>0.0</v>
      </c>
      <c r="Z156" s="76">
        <v>0.09</v>
      </c>
      <c r="AA156" s="79">
        <f t="shared" ref="AA156:AA157" si="87">Y156/(1-Z156)</f>
        <v>0</v>
      </c>
    </row>
    <row r="157" ht="15.75" customHeight="1">
      <c r="A157" s="85"/>
      <c r="B157" s="69" t="s">
        <v>157</v>
      </c>
      <c r="C157" s="70"/>
      <c r="D157" s="71"/>
      <c r="E157" s="155">
        <v>1.0</v>
      </c>
      <c r="F157" s="73" t="s">
        <v>29</v>
      </c>
      <c r="G157" s="156">
        <v>1.0</v>
      </c>
      <c r="H157" s="156"/>
      <c r="I157" s="156"/>
      <c r="J157" s="156"/>
      <c r="K157" s="75">
        <f t="shared" si="83"/>
        <v>0</v>
      </c>
      <c r="L157" s="76">
        <v>0.09</v>
      </c>
      <c r="M157" s="79">
        <f t="shared" si="84"/>
        <v>0</v>
      </c>
      <c r="N157" s="84"/>
      <c r="O157" s="60"/>
      <c r="P157" s="155">
        <v>1.0</v>
      </c>
      <c r="Q157" s="73" t="s">
        <v>29</v>
      </c>
      <c r="R157" s="156">
        <v>1.0</v>
      </c>
      <c r="S157" s="156"/>
      <c r="T157" s="156"/>
      <c r="U157" s="156"/>
      <c r="V157" s="75">
        <f t="shared" si="85"/>
        <v>0</v>
      </c>
      <c r="W157" s="76">
        <v>0.09</v>
      </c>
      <c r="X157" s="79">
        <f t="shared" si="86"/>
        <v>0</v>
      </c>
      <c r="Y157" s="75">
        <v>0.0</v>
      </c>
      <c r="Z157" s="76">
        <v>0.09</v>
      </c>
      <c r="AA157" s="79">
        <f t="shared" si="87"/>
        <v>0</v>
      </c>
    </row>
    <row r="158" ht="15.75" customHeight="1">
      <c r="A158" s="118"/>
      <c r="B158" s="126" t="s">
        <v>158</v>
      </c>
      <c r="C158" s="157"/>
      <c r="D158" s="158"/>
      <c r="E158" s="122"/>
      <c r="F158" s="123"/>
      <c r="G158" s="124"/>
      <c r="H158" s="124"/>
      <c r="I158" s="124"/>
      <c r="J158" s="124"/>
      <c r="K158" s="124"/>
      <c r="L158" s="124"/>
      <c r="M158" s="125"/>
      <c r="N158" s="173"/>
      <c r="O158" s="60"/>
      <c r="P158" s="123"/>
      <c r="Q158" s="123"/>
      <c r="R158" s="124"/>
      <c r="S158" s="124"/>
      <c r="T158" s="124"/>
      <c r="U158" s="124"/>
      <c r="V158" s="124"/>
      <c r="W158" s="124"/>
      <c r="X158" s="125"/>
      <c r="Y158" s="125"/>
      <c r="Z158" s="124"/>
      <c r="AA158" s="125"/>
    </row>
    <row r="159" ht="15.75" customHeight="1">
      <c r="A159" s="85"/>
      <c r="B159" s="151" t="s">
        <v>159</v>
      </c>
      <c r="C159" s="152"/>
      <c r="D159" s="153"/>
      <c r="E159" s="116">
        <v>1.0</v>
      </c>
      <c r="F159" s="73" t="s">
        <v>29</v>
      </c>
      <c r="G159" s="117">
        <v>1.0</v>
      </c>
      <c r="H159" s="117"/>
      <c r="I159" s="117"/>
      <c r="J159" s="117"/>
      <c r="K159" s="75">
        <f t="shared" ref="K159:K162" si="88">(E159*G159*H159)+(I159*J159*E159*G159)</f>
        <v>0</v>
      </c>
      <c r="L159" s="76">
        <v>0.09</v>
      </c>
      <c r="M159" s="79">
        <f t="shared" ref="M159:M162" si="89">K159/(1-L159)</f>
        <v>0</v>
      </c>
      <c r="N159" s="84"/>
      <c r="O159" s="60"/>
      <c r="P159" s="116">
        <v>1.0</v>
      </c>
      <c r="Q159" s="73" t="s">
        <v>29</v>
      </c>
      <c r="R159" s="117">
        <v>1.0</v>
      </c>
      <c r="S159" s="117"/>
      <c r="T159" s="117"/>
      <c r="U159" s="117"/>
      <c r="V159" s="75">
        <f t="shared" ref="V159:V162" si="90">(P159*R159*S159)+(T159*U159*P159*R159)</f>
        <v>0</v>
      </c>
      <c r="W159" s="76">
        <v>0.09</v>
      </c>
      <c r="X159" s="79">
        <f t="shared" ref="X159:X162" si="91">V159/(1-W159)</f>
        <v>0</v>
      </c>
      <c r="Y159" s="75">
        <v>0.0</v>
      </c>
      <c r="Z159" s="76">
        <v>0.09</v>
      </c>
      <c r="AA159" s="79">
        <f t="shared" ref="AA159:AA162" si="92">Y159/(1-Z159)</f>
        <v>0</v>
      </c>
    </row>
    <row r="160" ht="15.75" customHeight="1">
      <c r="A160" s="85"/>
      <c r="B160" s="115" t="s">
        <v>160</v>
      </c>
      <c r="C160" s="42"/>
      <c r="D160" s="43"/>
      <c r="E160" s="154">
        <v>1.0</v>
      </c>
      <c r="F160" s="73" t="s">
        <v>29</v>
      </c>
      <c r="G160" s="75">
        <v>1.0</v>
      </c>
      <c r="H160" s="75"/>
      <c r="I160" s="75"/>
      <c r="J160" s="75"/>
      <c r="K160" s="75">
        <f t="shared" si="88"/>
        <v>0</v>
      </c>
      <c r="L160" s="76">
        <v>0.09</v>
      </c>
      <c r="M160" s="79">
        <f t="shared" si="89"/>
        <v>0</v>
      </c>
      <c r="N160" s="84"/>
      <c r="O160" s="60"/>
      <c r="P160" s="154">
        <v>1.0</v>
      </c>
      <c r="Q160" s="73" t="s">
        <v>29</v>
      </c>
      <c r="R160" s="75">
        <v>1.0</v>
      </c>
      <c r="S160" s="75"/>
      <c r="T160" s="75"/>
      <c r="U160" s="75"/>
      <c r="V160" s="75">
        <f t="shared" si="90"/>
        <v>0</v>
      </c>
      <c r="W160" s="76">
        <v>0.09</v>
      </c>
      <c r="X160" s="79">
        <f t="shared" si="91"/>
        <v>0</v>
      </c>
      <c r="Y160" s="75">
        <v>0.0</v>
      </c>
      <c r="Z160" s="76">
        <v>0.09</v>
      </c>
      <c r="AA160" s="79">
        <f t="shared" si="92"/>
        <v>0</v>
      </c>
    </row>
    <row r="161" ht="15.75" customHeight="1">
      <c r="A161" s="85"/>
      <c r="B161" s="69" t="s">
        <v>161</v>
      </c>
      <c r="C161" s="70"/>
      <c r="D161" s="71"/>
      <c r="E161" s="155">
        <v>1.0</v>
      </c>
      <c r="F161" s="73" t="s">
        <v>29</v>
      </c>
      <c r="G161" s="156">
        <v>1.0</v>
      </c>
      <c r="H161" s="156"/>
      <c r="I161" s="156"/>
      <c r="J161" s="156"/>
      <c r="K161" s="75">
        <f t="shared" si="88"/>
        <v>0</v>
      </c>
      <c r="L161" s="76">
        <v>0.09</v>
      </c>
      <c r="M161" s="79">
        <f t="shared" si="89"/>
        <v>0</v>
      </c>
      <c r="N161" s="84"/>
      <c r="O161" s="60"/>
      <c r="P161" s="155">
        <v>1.0</v>
      </c>
      <c r="Q161" s="73" t="s">
        <v>29</v>
      </c>
      <c r="R161" s="156">
        <v>1.0</v>
      </c>
      <c r="S161" s="156"/>
      <c r="T161" s="156"/>
      <c r="U161" s="156"/>
      <c r="V161" s="75">
        <f t="shared" si="90"/>
        <v>0</v>
      </c>
      <c r="W161" s="76">
        <v>0.09</v>
      </c>
      <c r="X161" s="79">
        <f t="shared" si="91"/>
        <v>0</v>
      </c>
      <c r="Y161" s="75">
        <v>0.0</v>
      </c>
      <c r="Z161" s="76">
        <v>0.09</v>
      </c>
      <c r="AA161" s="79">
        <f t="shared" si="92"/>
        <v>0</v>
      </c>
    </row>
    <row r="162" ht="15.75" customHeight="1">
      <c r="A162" s="80"/>
      <c r="B162" s="69" t="s">
        <v>162</v>
      </c>
      <c r="C162" s="70"/>
      <c r="D162" s="71"/>
      <c r="E162" s="155">
        <v>1.0</v>
      </c>
      <c r="F162" s="73" t="s">
        <v>29</v>
      </c>
      <c r="G162" s="156">
        <v>1.0</v>
      </c>
      <c r="H162" s="156"/>
      <c r="I162" s="156"/>
      <c r="J162" s="156"/>
      <c r="K162" s="75">
        <f t="shared" si="88"/>
        <v>0</v>
      </c>
      <c r="L162" s="76">
        <v>0.09</v>
      </c>
      <c r="M162" s="79">
        <f t="shared" si="89"/>
        <v>0</v>
      </c>
      <c r="N162" s="84"/>
      <c r="O162" s="60"/>
      <c r="P162" s="155">
        <v>1.0</v>
      </c>
      <c r="Q162" s="73" t="s">
        <v>29</v>
      </c>
      <c r="R162" s="156">
        <v>1.0</v>
      </c>
      <c r="S162" s="156"/>
      <c r="T162" s="156"/>
      <c r="U162" s="156"/>
      <c r="V162" s="75">
        <f t="shared" si="90"/>
        <v>0</v>
      </c>
      <c r="W162" s="76">
        <v>0.09</v>
      </c>
      <c r="X162" s="79">
        <f t="shared" si="91"/>
        <v>0</v>
      </c>
      <c r="Y162" s="75">
        <v>0.0</v>
      </c>
      <c r="Z162" s="76">
        <v>0.09</v>
      </c>
      <c r="AA162" s="79">
        <f t="shared" si="92"/>
        <v>0</v>
      </c>
    </row>
    <row r="163" ht="15.75" customHeight="1">
      <c r="A163" s="118"/>
      <c r="B163" s="126" t="s">
        <v>163</v>
      </c>
      <c r="C163" s="157"/>
      <c r="D163" s="158"/>
      <c r="E163" s="122"/>
      <c r="F163" s="123"/>
      <c r="G163" s="124"/>
      <c r="H163" s="124"/>
      <c r="I163" s="124"/>
      <c r="J163" s="124"/>
      <c r="K163" s="124"/>
      <c r="L163" s="124"/>
      <c r="M163" s="125"/>
      <c r="N163" s="173"/>
      <c r="O163" s="60"/>
      <c r="P163" s="123"/>
      <c r="Q163" s="123"/>
      <c r="R163" s="124"/>
      <c r="S163" s="124"/>
      <c r="T163" s="124"/>
      <c r="U163" s="124"/>
      <c r="V163" s="124"/>
      <c r="W163" s="124"/>
      <c r="X163" s="125"/>
      <c r="Y163" s="125"/>
      <c r="Z163" s="124"/>
      <c r="AA163" s="125"/>
    </row>
    <row r="164" ht="15.75" customHeight="1">
      <c r="A164" s="85"/>
      <c r="B164" s="151" t="s">
        <v>164</v>
      </c>
      <c r="C164" s="152"/>
      <c r="D164" s="153"/>
      <c r="E164" s="116">
        <v>1.0</v>
      </c>
      <c r="F164" s="73" t="s">
        <v>29</v>
      </c>
      <c r="G164" s="117">
        <v>1.0</v>
      </c>
      <c r="H164" s="117"/>
      <c r="I164" s="117"/>
      <c r="J164" s="117"/>
      <c r="K164" s="75">
        <f t="shared" ref="K164:K165" si="93">(E164*G164*H164)+(I164*J164*E164*G164)</f>
        <v>0</v>
      </c>
      <c r="L164" s="76">
        <v>0.09</v>
      </c>
      <c r="M164" s="79">
        <f t="shared" ref="M164:M165" si="94">K164/(1-L164)</f>
        <v>0</v>
      </c>
      <c r="N164" s="84"/>
      <c r="O164" s="60"/>
      <c r="P164" s="116">
        <v>1.0</v>
      </c>
      <c r="Q164" s="73" t="s">
        <v>29</v>
      </c>
      <c r="R164" s="117">
        <v>1.0</v>
      </c>
      <c r="S164" s="117"/>
      <c r="T164" s="117"/>
      <c r="U164" s="117"/>
      <c r="V164" s="75">
        <f t="shared" ref="V164:V165" si="95">(P164*R164*S164)+(T164*U164*P164*R164)</f>
        <v>0</v>
      </c>
      <c r="W164" s="76">
        <v>0.09</v>
      </c>
      <c r="X164" s="79">
        <f t="shared" ref="X164:X165" si="96">V164/(1-W164)</f>
        <v>0</v>
      </c>
      <c r="Y164" s="75">
        <v>0.0</v>
      </c>
      <c r="Z164" s="76">
        <v>0.09</v>
      </c>
      <c r="AA164" s="79">
        <f t="shared" ref="AA164:AA165" si="97">Y164/(1-Z164)</f>
        <v>0</v>
      </c>
    </row>
    <row r="165" ht="15.75" customHeight="1">
      <c r="A165" s="85"/>
      <c r="B165" s="69" t="s">
        <v>165</v>
      </c>
      <c r="C165" s="70"/>
      <c r="D165" s="71"/>
      <c r="E165" s="193">
        <v>1.0</v>
      </c>
      <c r="F165" s="73" t="s">
        <v>29</v>
      </c>
      <c r="G165" s="194">
        <v>1.0</v>
      </c>
      <c r="H165" s="194"/>
      <c r="I165" s="194"/>
      <c r="J165" s="194"/>
      <c r="K165" s="75">
        <f t="shared" si="93"/>
        <v>0</v>
      </c>
      <c r="L165" s="76">
        <v>0.09</v>
      </c>
      <c r="M165" s="79">
        <f t="shared" si="94"/>
        <v>0</v>
      </c>
      <c r="N165" s="84"/>
      <c r="O165" s="60"/>
      <c r="P165" s="193">
        <v>1.0</v>
      </c>
      <c r="Q165" s="73" t="s">
        <v>29</v>
      </c>
      <c r="R165" s="194">
        <v>1.0</v>
      </c>
      <c r="S165" s="194"/>
      <c r="T165" s="194"/>
      <c r="U165" s="194"/>
      <c r="V165" s="75">
        <f t="shared" si="95"/>
        <v>0</v>
      </c>
      <c r="W165" s="76">
        <v>0.09</v>
      </c>
      <c r="X165" s="79">
        <f t="shared" si="96"/>
        <v>0</v>
      </c>
      <c r="Y165" s="75">
        <v>0.0</v>
      </c>
      <c r="Z165" s="76">
        <v>0.09</v>
      </c>
      <c r="AA165" s="79">
        <f t="shared" si="97"/>
        <v>0</v>
      </c>
    </row>
    <row r="166" ht="15.75" customHeight="1">
      <c r="A166" s="85"/>
      <c r="B166" s="85"/>
      <c r="C166" s="85"/>
      <c r="D166" s="85"/>
      <c r="E166" s="88"/>
      <c r="F166" s="95"/>
      <c r="G166" s="90"/>
      <c r="H166" s="90"/>
      <c r="I166" s="91"/>
      <c r="J166" s="91"/>
      <c r="K166" s="91"/>
      <c r="L166" s="92" t="s">
        <v>166</v>
      </c>
      <c r="M166" s="93">
        <f>SUM(M153:M165)</f>
        <v>0</v>
      </c>
      <c r="N166" s="94"/>
      <c r="O166" s="60"/>
      <c r="P166" s="95"/>
      <c r="Q166" s="95"/>
      <c r="R166" s="90"/>
      <c r="S166" s="90"/>
      <c r="T166" s="91"/>
      <c r="U166" s="91"/>
      <c r="V166" s="91"/>
      <c r="W166" s="92" t="s">
        <v>166</v>
      </c>
      <c r="X166" s="93">
        <f>SUM(X153:X165)</f>
        <v>0</v>
      </c>
      <c r="Y166" s="131"/>
      <c r="Z166" s="92" t="s">
        <v>166</v>
      </c>
      <c r="AA166" s="93">
        <f>SUM(AA153:AA165)</f>
        <v>0</v>
      </c>
    </row>
    <row r="167" ht="9.75" customHeight="1">
      <c r="A167" s="96"/>
      <c r="B167" s="96"/>
      <c r="C167" s="96"/>
      <c r="D167" s="96"/>
      <c r="E167" s="176"/>
      <c r="F167" s="137"/>
      <c r="G167" s="96"/>
      <c r="H167" s="96"/>
      <c r="I167" s="96"/>
      <c r="J167" s="96"/>
      <c r="K167" s="96"/>
      <c r="L167" s="96"/>
      <c r="M167" s="138"/>
      <c r="N167" s="177"/>
      <c r="O167" s="60"/>
      <c r="P167" s="137"/>
      <c r="Q167" s="137"/>
      <c r="R167" s="96"/>
      <c r="S167" s="96"/>
      <c r="T167" s="96"/>
      <c r="U167" s="96"/>
      <c r="V167" s="96"/>
      <c r="W167" s="96"/>
      <c r="X167" s="138"/>
      <c r="Y167" s="139"/>
      <c r="Z167" s="96"/>
      <c r="AA167" s="139"/>
    </row>
    <row r="168" ht="15.75" customHeight="1">
      <c r="A168" s="61" t="s">
        <v>167</v>
      </c>
      <c r="B168" s="62"/>
      <c r="C168" s="62"/>
      <c r="D168" s="63"/>
      <c r="E168" s="195"/>
      <c r="F168" s="141"/>
      <c r="G168" s="142"/>
      <c r="H168" s="142"/>
      <c r="I168" s="142"/>
      <c r="J168" s="142"/>
      <c r="K168" s="142"/>
      <c r="L168" s="142"/>
      <c r="M168" s="143"/>
      <c r="N168" s="196"/>
      <c r="O168" s="60"/>
      <c r="P168" s="141"/>
      <c r="Q168" s="141"/>
      <c r="R168" s="142"/>
      <c r="S168" s="142"/>
      <c r="T168" s="142"/>
      <c r="U168" s="142"/>
      <c r="V168" s="142"/>
      <c r="W168" s="142"/>
      <c r="X168" s="143"/>
      <c r="Y168" s="143"/>
      <c r="Z168" s="142"/>
      <c r="AA168" s="143"/>
    </row>
    <row r="169" ht="15.75" customHeight="1">
      <c r="A169" s="105"/>
      <c r="B169" s="145" t="s">
        <v>168</v>
      </c>
      <c r="C169" s="146"/>
      <c r="D169" s="147"/>
      <c r="E169" s="197"/>
      <c r="F169" s="148"/>
      <c r="G169" s="149"/>
      <c r="H169" s="149"/>
      <c r="I169" s="149"/>
      <c r="J169" s="149"/>
      <c r="K169" s="149"/>
      <c r="L169" s="149"/>
      <c r="M169" s="150"/>
      <c r="N169" s="198"/>
      <c r="O169" s="60"/>
      <c r="P169" s="148"/>
      <c r="Q169" s="148"/>
      <c r="R169" s="149"/>
      <c r="S169" s="149"/>
      <c r="T169" s="149"/>
      <c r="U169" s="149"/>
      <c r="V169" s="149"/>
      <c r="W169" s="149"/>
      <c r="X169" s="150"/>
      <c r="Y169" s="150"/>
      <c r="Z169" s="149"/>
      <c r="AA169" s="150"/>
    </row>
    <row r="170" ht="15.75" customHeight="1">
      <c r="A170" s="85"/>
      <c r="B170" s="151" t="s">
        <v>169</v>
      </c>
      <c r="C170" s="152"/>
      <c r="D170" s="153"/>
      <c r="E170" s="116">
        <v>1.0</v>
      </c>
      <c r="F170" s="116" t="s">
        <v>45</v>
      </c>
      <c r="G170" s="117">
        <v>1.0</v>
      </c>
      <c r="H170" s="117"/>
      <c r="I170" s="117"/>
      <c r="J170" s="117"/>
      <c r="K170" s="75">
        <f t="shared" ref="K170:K175" si="98">(E170*G170*H170)+(I170*J170*E170*G170)</f>
        <v>0</v>
      </c>
      <c r="L170" s="76">
        <v>0.09</v>
      </c>
      <c r="M170" s="79">
        <f t="shared" ref="M170:M175" si="99">K170/(1-L170)</f>
        <v>0</v>
      </c>
      <c r="N170" s="84"/>
      <c r="O170" s="60"/>
      <c r="P170" s="116">
        <v>1.0</v>
      </c>
      <c r="Q170" s="116" t="s">
        <v>45</v>
      </c>
      <c r="R170" s="117">
        <v>1.0</v>
      </c>
      <c r="S170" s="117"/>
      <c r="T170" s="117"/>
      <c r="U170" s="117"/>
      <c r="V170" s="75">
        <f t="shared" ref="V170:V175" si="100">(P170*R170*S170)+(T170*U170*P170*R170)</f>
        <v>0</v>
      </c>
      <c r="W170" s="76">
        <v>0.09</v>
      </c>
      <c r="X170" s="79">
        <f t="shared" ref="X170:X175" si="101">V170/(1-W170)</f>
        <v>0</v>
      </c>
      <c r="Y170" s="75">
        <v>0.0</v>
      </c>
      <c r="Z170" s="76">
        <v>0.09</v>
      </c>
      <c r="AA170" s="79">
        <f t="shared" ref="AA170:AA175" si="102">Y170/(1-Z170)</f>
        <v>0</v>
      </c>
    </row>
    <row r="171" ht="15.75" customHeight="1">
      <c r="A171" s="85"/>
      <c r="B171" s="115" t="s">
        <v>170</v>
      </c>
      <c r="C171" s="42"/>
      <c r="D171" s="43"/>
      <c r="E171" s="154">
        <v>1.0</v>
      </c>
      <c r="F171" s="116" t="s">
        <v>45</v>
      </c>
      <c r="G171" s="75">
        <v>1.0</v>
      </c>
      <c r="H171" s="75"/>
      <c r="I171" s="75"/>
      <c r="J171" s="75"/>
      <c r="K171" s="75">
        <f t="shared" si="98"/>
        <v>0</v>
      </c>
      <c r="L171" s="76">
        <v>0.09</v>
      </c>
      <c r="M171" s="79">
        <f t="shared" si="99"/>
        <v>0</v>
      </c>
      <c r="N171" s="84"/>
      <c r="O171" s="60"/>
      <c r="P171" s="154">
        <v>1.0</v>
      </c>
      <c r="Q171" s="116" t="s">
        <v>45</v>
      </c>
      <c r="R171" s="75">
        <v>1.0</v>
      </c>
      <c r="S171" s="75"/>
      <c r="T171" s="75"/>
      <c r="U171" s="75"/>
      <c r="V171" s="75">
        <f t="shared" si="100"/>
        <v>0</v>
      </c>
      <c r="W171" s="76">
        <v>0.09</v>
      </c>
      <c r="X171" s="79">
        <f t="shared" si="101"/>
        <v>0</v>
      </c>
      <c r="Y171" s="75">
        <v>0.0</v>
      </c>
      <c r="Z171" s="76">
        <v>0.09</v>
      </c>
      <c r="AA171" s="79">
        <f t="shared" si="102"/>
        <v>0</v>
      </c>
    </row>
    <row r="172" ht="15.75" customHeight="1">
      <c r="A172" s="85"/>
      <c r="B172" s="115" t="s">
        <v>171</v>
      </c>
      <c r="C172" s="42"/>
      <c r="D172" s="43"/>
      <c r="E172" s="154">
        <v>1.0</v>
      </c>
      <c r="F172" s="116" t="s">
        <v>45</v>
      </c>
      <c r="G172" s="75">
        <v>1.0</v>
      </c>
      <c r="H172" s="75"/>
      <c r="I172" s="75"/>
      <c r="J172" s="75"/>
      <c r="K172" s="75">
        <f t="shared" si="98"/>
        <v>0</v>
      </c>
      <c r="L172" s="76">
        <v>0.09</v>
      </c>
      <c r="M172" s="79">
        <f t="shared" si="99"/>
        <v>0</v>
      </c>
      <c r="N172" s="84"/>
      <c r="O172" s="60"/>
      <c r="P172" s="154">
        <v>1.0</v>
      </c>
      <c r="Q172" s="116" t="s">
        <v>45</v>
      </c>
      <c r="R172" s="75">
        <v>1.0</v>
      </c>
      <c r="S172" s="75"/>
      <c r="T172" s="75"/>
      <c r="U172" s="75"/>
      <c r="V172" s="75">
        <f t="shared" si="100"/>
        <v>0</v>
      </c>
      <c r="W172" s="76">
        <v>0.09</v>
      </c>
      <c r="X172" s="79">
        <f t="shared" si="101"/>
        <v>0</v>
      </c>
      <c r="Y172" s="75">
        <v>0.0</v>
      </c>
      <c r="Z172" s="76">
        <v>0.09</v>
      </c>
      <c r="AA172" s="79">
        <f t="shared" si="102"/>
        <v>0</v>
      </c>
    </row>
    <row r="173" ht="15.75" customHeight="1">
      <c r="A173" s="85"/>
      <c r="B173" s="115" t="s">
        <v>172</v>
      </c>
      <c r="C173" s="42"/>
      <c r="D173" s="43"/>
      <c r="E173" s="154">
        <v>1.0</v>
      </c>
      <c r="F173" s="154" t="s">
        <v>173</v>
      </c>
      <c r="G173" s="75">
        <v>1.0</v>
      </c>
      <c r="H173" s="75"/>
      <c r="I173" s="75"/>
      <c r="J173" s="75"/>
      <c r="K173" s="75">
        <f t="shared" si="98"/>
        <v>0</v>
      </c>
      <c r="L173" s="76">
        <v>0.09</v>
      </c>
      <c r="M173" s="79">
        <f t="shared" si="99"/>
        <v>0</v>
      </c>
      <c r="N173" s="84"/>
      <c r="O173" s="60"/>
      <c r="P173" s="154">
        <v>1.0</v>
      </c>
      <c r="Q173" s="154" t="s">
        <v>173</v>
      </c>
      <c r="R173" s="75">
        <v>1.0</v>
      </c>
      <c r="S173" s="75"/>
      <c r="T173" s="75"/>
      <c r="U173" s="75"/>
      <c r="V173" s="75">
        <f t="shared" si="100"/>
        <v>0</v>
      </c>
      <c r="W173" s="76">
        <v>0.09</v>
      </c>
      <c r="X173" s="79">
        <f t="shared" si="101"/>
        <v>0</v>
      </c>
      <c r="Y173" s="75">
        <v>0.0</v>
      </c>
      <c r="Z173" s="76">
        <v>0.09</v>
      </c>
      <c r="AA173" s="79">
        <f t="shared" si="102"/>
        <v>0</v>
      </c>
    </row>
    <row r="174" ht="15.75" customHeight="1">
      <c r="A174" s="85"/>
      <c r="B174" s="115" t="s">
        <v>174</v>
      </c>
      <c r="C174" s="42"/>
      <c r="D174" s="43"/>
      <c r="E174" s="154">
        <v>1.0</v>
      </c>
      <c r="F174" s="154" t="s">
        <v>173</v>
      </c>
      <c r="G174" s="75">
        <v>1.0</v>
      </c>
      <c r="H174" s="75"/>
      <c r="I174" s="75"/>
      <c r="J174" s="75"/>
      <c r="K174" s="75">
        <f t="shared" si="98"/>
        <v>0</v>
      </c>
      <c r="L174" s="76">
        <v>0.09</v>
      </c>
      <c r="M174" s="79">
        <f t="shared" si="99"/>
        <v>0</v>
      </c>
      <c r="N174" s="84"/>
      <c r="O174" s="60"/>
      <c r="P174" s="154">
        <v>1.0</v>
      </c>
      <c r="Q174" s="154" t="s">
        <v>173</v>
      </c>
      <c r="R174" s="75">
        <v>1.0</v>
      </c>
      <c r="S174" s="75"/>
      <c r="T174" s="75"/>
      <c r="U174" s="75"/>
      <c r="V174" s="75">
        <f t="shared" si="100"/>
        <v>0</v>
      </c>
      <c r="W174" s="76">
        <v>0.09</v>
      </c>
      <c r="X174" s="79">
        <f t="shared" si="101"/>
        <v>0</v>
      </c>
      <c r="Y174" s="75">
        <v>0.0</v>
      </c>
      <c r="Z174" s="76">
        <v>0.09</v>
      </c>
      <c r="AA174" s="79">
        <f t="shared" si="102"/>
        <v>0</v>
      </c>
    </row>
    <row r="175" ht="15.75" customHeight="1">
      <c r="A175" s="85"/>
      <c r="B175" s="69" t="s">
        <v>175</v>
      </c>
      <c r="C175" s="70"/>
      <c r="D175" s="71"/>
      <c r="E175" s="155">
        <v>1.0</v>
      </c>
      <c r="F175" s="154" t="s">
        <v>173</v>
      </c>
      <c r="G175" s="156">
        <v>1.0</v>
      </c>
      <c r="H175" s="156"/>
      <c r="I175" s="156"/>
      <c r="J175" s="156"/>
      <c r="K175" s="75">
        <f t="shared" si="98"/>
        <v>0</v>
      </c>
      <c r="L175" s="76">
        <v>0.09</v>
      </c>
      <c r="M175" s="79">
        <f t="shared" si="99"/>
        <v>0</v>
      </c>
      <c r="N175" s="84"/>
      <c r="O175" s="60"/>
      <c r="P175" s="155">
        <v>1.0</v>
      </c>
      <c r="Q175" s="154" t="s">
        <v>173</v>
      </c>
      <c r="R175" s="156">
        <v>1.0</v>
      </c>
      <c r="S175" s="156"/>
      <c r="T175" s="156"/>
      <c r="U175" s="156"/>
      <c r="V175" s="75">
        <f t="shared" si="100"/>
        <v>0</v>
      </c>
      <c r="W175" s="76">
        <v>0.09</v>
      </c>
      <c r="X175" s="79">
        <f t="shared" si="101"/>
        <v>0</v>
      </c>
      <c r="Y175" s="75">
        <v>0.0</v>
      </c>
      <c r="Z175" s="76">
        <v>0.09</v>
      </c>
      <c r="AA175" s="79">
        <f t="shared" si="102"/>
        <v>0</v>
      </c>
    </row>
    <row r="176" ht="15.75" customHeight="1">
      <c r="A176" s="118"/>
      <c r="B176" s="126" t="s">
        <v>176</v>
      </c>
      <c r="C176" s="157"/>
      <c r="D176" s="158"/>
      <c r="E176" s="122"/>
      <c r="F176" s="123"/>
      <c r="G176" s="124"/>
      <c r="H176" s="124"/>
      <c r="I176" s="124"/>
      <c r="J176" s="124"/>
      <c r="K176" s="124"/>
      <c r="L176" s="124"/>
      <c r="M176" s="125"/>
      <c r="N176" s="173"/>
      <c r="O176" s="60"/>
      <c r="P176" s="123"/>
      <c r="Q176" s="123"/>
      <c r="R176" s="124"/>
      <c r="S176" s="124"/>
      <c r="T176" s="124"/>
      <c r="U176" s="124"/>
      <c r="V176" s="124"/>
      <c r="W176" s="124"/>
      <c r="X176" s="125"/>
      <c r="Y176" s="124"/>
      <c r="Z176" s="124"/>
      <c r="AA176" s="125"/>
    </row>
    <row r="177" ht="15.75" customHeight="1">
      <c r="A177" s="85"/>
      <c r="B177" s="151" t="s">
        <v>177</v>
      </c>
      <c r="C177" s="152"/>
      <c r="D177" s="153"/>
      <c r="E177" s="116">
        <v>1.0</v>
      </c>
      <c r="F177" s="116" t="s">
        <v>45</v>
      </c>
      <c r="G177" s="117">
        <v>1.0</v>
      </c>
      <c r="H177" s="117"/>
      <c r="I177" s="117"/>
      <c r="J177" s="117"/>
      <c r="K177" s="75">
        <f t="shared" ref="K177:K181" si="103">(E177*G177*H177)+(I177*J177*E177*G177)</f>
        <v>0</v>
      </c>
      <c r="L177" s="76">
        <v>0.09</v>
      </c>
      <c r="M177" s="79">
        <f t="shared" ref="M177:M181" si="104">K177/(1-L177)</f>
        <v>0</v>
      </c>
      <c r="N177" s="84"/>
      <c r="O177" s="60"/>
      <c r="P177" s="116">
        <v>1.0</v>
      </c>
      <c r="Q177" s="116" t="s">
        <v>45</v>
      </c>
      <c r="R177" s="117">
        <v>1.0</v>
      </c>
      <c r="S177" s="117"/>
      <c r="T177" s="117"/>
      <c r="U177" s="117"/>
      <c r="V177" s="75">
        <f t="shared" ref="V177:V181" si="105">(P177*R177*S177)+(T177*U177*P177*R177)</f>
        <v>0</v>
      </c>
      <c r="W177" s="76">
        <v>0.09</v>
      </c>
      <c r="X177" s="79">
        <f t="shared" ref="X177:X181" si="106">V177/(1-W177)</f>
        <v>0</v>
      </c>
      <c r="Y177" s="75">
        <v>0.0</v>
      </c>
      <c r="Z177" s="76">
        <v>0.09</v>
      </c>
      <c r="AA177" s="79">
        <f t="shared" ref="AA177:AA181" si="107">Y177/(1-Z177)</f>
        <v>0</v>
      </c>
    </row>
    <row r="178" ht="15.75" customHeight="1">
      <c r="A178" s="85"/>
      <c r="B178" s="115" t="s">
        <v>178</v>
      </c>
      <c r="C178" s="42"/>
      <c r="D178" s="43"/>
      <c r="E178" s="154">
        <v>1.0</v>
      </c>
      <c r="F178" s="116" t="s">
        <v>45</v>
      </c>
      <c r="G178" s="75">
        <v>1.0</v>
      </c>
      <c r="H178" s="75"/>
      <c r="I178" s="75"/>
      <c r="J178" s="75"/>
      <c r="K178" s="75">
        <f t="shared" si="103"/>
        <v>0</v>
      </c>
      <c r="L178" s="76">
        <v>0.09</v>
      </c>
      <c r="M178" s="79">
        <f t="shared" si="104"/>
        <v>0</v>
      </c>
      <c r="N178" s="84"/>
      <c r="O178" s="60"/>
      <c r="P178" s="154">
        <v>1.0</v>
      </c>
      <c r="Q178" s="116" t="s">
        <v>45</v>
      </c>
      <c r="R178" s="75">
        <v>1.0</v>
      </c>
      <c r="S178" s="75"/>
      <c r="T178" s="75"/>
      <c r="U178" s="75"/>
      <c r="V178" s="75">
        <f t="shared" si="105"/>
        <v>0</v>
      </c>
      <c r="W178" s="76">
        <v>0.09</v>
      </c>
      <c r="X178" s="79">
        <f t="shared" si="106"/>
        <v>0</v>
      </c>
      <c r="Y178" s="75">
        <v>0.0</v>
      </c>
      <c r="Z178" s="76">
        <v>0.09</v>
      </c>
      <c r="AA178" s="79">
        <f t="shared" si="107"/>
        <v>0</v>
      </c>
    </row>
    <row r="179" ht="15.75" customHeight="1">
      <c r="A179" s="85"/>
      <c r="B179" s="115" t="s">
        <v>179</v>
      </c>
      <c r="C179" s="42"/>
      <c r="D179" s="43"/>
      <c r="E179" s="154">
        <v>1.0</v>
      </c>
      <c r="F179" s="116" t="s">
        <v>45</v>
      </c>
      <c r="G179" s="75">
        <v>1.0</v>
      </c>
      <c r="H179" s="75"/>
      <c r="I179" s="75"/>
      <c r="J179" s="75"/>
      <c r="K179" s="75">
        <f t="shared" si="103"/>
        <v>0</v>
      </c>
      <c r="L179" s="76">
        <v>0.09</v>
      </c>
      <c r="M179" s="79">
        <f t="shared" si="104"/>
        <v>0</v>
      </c>
      <c r="N179" s="84"/>
      <c r="O179" s="60"/>
      <c r="P179" s="154">
        <v>1.0</v>
      </c>
      <c r="Q179" s="116" t="s">
        <v>45</v>
      </c>
      <c r="R179" s="75">
        <v>1.0</v>
      </c>
      <c r="S179" s="75"/>
      <c r="T179" s="75"/>
      <c r="U179" s="75"/>
      <c r="V179" s="75">
        <f t="shared" si="105"/>
        <v>0</v>
      </c>
      <c r="W179" s="76">
        <v>0.09</v>
      </c>
      <c r="X179" s="79">
        <f t="shared" si="106"/>
        <v>0</v>
      </c>
      <c r="Y179" s="75">
        <v>0.0</v>
      </c>
      <c r="Z179" s="76">
        <v>0.09</v>
      </c>
      <c r="AA179" s="79">
        <f t="shared" si="107"/>
        <v>0</v>
      </c>
    </row>
    <row r="180" ht="15.75" customHeight="1">
      <c r="A180" s="85"/>
      <c r="B180" s="115" t="s">
        <v>180</v>
      </c>
      <c r="C180" s="42"/>
      <c r="D180" s="43"/>
      <c r="E180" s="154">
        <v>1.0</v>
      </c>
      <c r="F180" s="116" t="s">
        <v>45</v>
      </c>
      <c r="G180" s="75">
        <v>1.0</v>
      </c>
      <c r="H180" s="75"/>
      <c r="I180" s="75"/>
      <c r="J180" s="75"/>
      <c r="K180" s="75">
        <f t="shared" si="103"/>
        <v>0</v>
      </c>
      <c r="L180" s="76">
        <v>0.09</v>
      </c>
      <c r="M180" s="79">
        <f t="shared" si="104"/>
        <v>0</v>
      </c>
      <c r="N180" s="84"/>
      <c r="O180" s="60"/>
      <c r="P180" s="154">
        <v>1.0</v>
      </c>
      <c r="Q180" s="116" t="s">
        <v>45</v>
      </c>
      <c r="R180" s="75">
        <v>1.0</v>
      </c>
      <c r="S180" s="75"/>
      <c r="T180" s="75"/>
      <c r="U180" s="75"/>
      <c r="V180" s="75">
        <f t="shared" si="105"/>
        <v>0</v>
      </c>
      <c r="W180" s="76">
        <v>0.09</v>
      </c>
      <c r="X180" s="79">
        <f t="shared" si="106"/>
        <v>0</v>
      </c>
      <c r="Y180" s="75">
        <v>0.0</v>
      </c>
      <c r="Z180" s="76">
        <v>0.09</v>
      </c>
      <c r="AA180" s="79">
        <f t="shared" si="107"/>
        <v>0</v>
      </c>
    </row>
    <row r="181" ht="15.75" customHeight="1">
      <c r="A181" s="85"/>
      <c r="B181" s="69" t="s">
        <v>181</v>
      </c>
      <c r="C181" s="70"/>
      <c r="D181" s="71"/>
      <c r="E181" s="174">
        <v>1.0</v>
      </c>
      <c r="F181" s="116" t="s">
        <v>45</v>
      </c>
      <c r="G181" s="175">
        <v>1.0</v>
      </c>
      <c r="H181" s="175"/>
      <c r="I181" s="175"/>
      <c r="J181" s="175"/>
      <c r="K181" s="75">
        <f t="shared" si="103"/>
        <v>0</v>
      </c>
      <c r="L181" s="76">
        <v>0.09</v>
      </c>
      <c r="M181" s="79">
        <f t="shared" si="104"/>
        <v>0</v>
      </c>
      <c r="N181" s="84"/>
      <c r="O181" s="60"/>
      <c r="P181" s="174">
        <v>1.0</v>
      </c>
      <c r="Q181" s="116" t="s">
        <v>45</v>
      </c>
      <c r="R181" s="175">
        <v>1.0</v>
      </c>
      <c r="S181" s="175"/>
      <c r="T181" s="175"/>
      <c r="U181" s="175"/>
      <c r="V181" s="75">
        <f t="shared" si="105"/>
        <v>0</v>
      </c>
      <c r="W181" s="76">
        <v>0.09</v>
      </c>
      <c r="X181" s="79">
        <f t="shared" si="106"/>
        <v>0</v>
      </c>
      <c r="Y181" s="75">
        <v>0.0</v>
      </c>
      <c r="Z181" s="76">
        <v>0.09</v>
      </c>
      <c r="AA181" s="79">
        <f t="shared" si="107"/>
        <v>0</v>
      </c>
    </row>
    <row r="182" ht="15.75" customHeight="1">
      <c r="A182" s="85"/>
      <c r="B182" s="85"/>
      <c r="C182" s="85"/>
      <c r="D182" s="85"/>
      <c r="E182" s="88"/>
      <c r="F182" s="95"/>
      <c r="G182" s="90"/>
      <c r="H182" s="90"/>
      <c r="I182" s="91"/>
      <c r="J182" s="91"/>
      <c r="K182" s="91"/>
      <c r="L182" s="92" t="s">
        <v>182</v>
      </c>
      <c r="M182" s="93">
        <f>SUM(M170:M181)</f>
        <v>0</v>
      </c>
      <c r="N182" s="94"/>
      <c r="O182" s="60"/>
      <c r="P182" s="95"/>
      <c r="Q182" s="95"/>
      <c r="R182" s="90"/>
      <c r="S182" s="90"/>
      <c r="T182" s="91"/>
      <c r="U182" s="91"/>
      <c r="V182" s="91"/>
      <c r="W182" s="92" t="s">
        <v>182</v>
      </c>
      <c r="X182" s="93">
        <f>SUM(X170:X181)</f>
        <v>0</v>
      </c>
      <c r="Y182" s="91"/>
      <c r="Z182" s="92" t="s">
        <v>182</v>
      </c>
      <c r="AA182" s="93">
        <f>SUM(AA170:AA181)</f>
        <v>0</v>
      </c>
    </row>
    <row r="183" ht="9.75" customHeight="1">
      <c r="A183" s="96"/>
      <c r="B183" s="96"/>
      <c r="C183" s="96"/>
      <c r="D183" s="96"/>
      <c r="E183" s="176"/>
      <c r="F183" s="137"/>
      <c r="G183" s="96"/>
      <c r="H183" s="96"/>
      <c r="I183" s="96"/>
      <c r="J183" s="96"/>
      <c r="K183" s="96"/>
      <c r="L183" s="96"/>
      <c r="M183" s="138"/>
      <c r="N183" s="177"/>
      <c r="O183" s="60"/>
      <c r="P183" s="137"/>
      <c r="Q183" s="137"/>
      <c r="R183" s="96"/>
      <c r="S183" s="96"/>
      <c r="T183" s="96"/>
      <c r="U183" s="96"/>
      <c r="V183" s="96"/>
      <c r="W183" s="96"/>
      <c r="X183" s="138"/>
      <c r="Y183" s="139"/>
      <c r="Z183" s="96"/>
      <c r="AA183" s="139"/>
    </row>
    <row r="184" ht="15.75" customHeight="1">
      <c r="A184" s="61" t="s">
        <v>183</v>
      </c>
      <c r="B184" s="62"/>
      <c r="C184" s="62"/>
      <c r="D184" s="63"/>
      <c r="E184" s="195"/>
      <c r="F184" s="141"/>
      <c r="G184" s="142"/>
      <c r="H184" s="142"/>
      <c r="I184" s="142"/>
      <c r="J184" s="142"/>
      <c r="K184" s="142"/>
      <c r="L184" s="142"/>
      <c r="M184" s="143"/>
      <c r="N184" s="196"/>
      <c r="O184" s="60"/>
      <c r="P184" s="141"/>
      <c r="Q184" s="141"/>
      <c r="R184" s="142"/>
      <c r="S184" s="142"/>
      <c r="T184" s="142"/>
      <c r="U184" s="142"/>
      <c r="V184" s="142"/>
      <c r="W184" s="142"/>
      <c r="X184" s="143"/>
      <c r="Y184" s="142"/>
      <c r="Z184" s="142"/>
      <c r="AA184" s="143"/>
    </row>
    <row r="185" ht="15.75" customHeight="1">
      <c r="A185" s="199"/>
      <c r="B185" s="115" t="s">
        <v>184</v>
      </c>
      <c r="C185" s="42"/>
      <c r="D185" s="43"/>
      <c r="E185" s="116">
        <v>1.0</v>
      </c>
      <c r="F185" s="116" t="s">
        <v>45</v>
      </c>
      <c r="G185" s="117">
        <v>1.0</v>
      </c>
      <c r="H185" s="117"/>
      <c r="I185" s="117"/>
      <c r="J185" s="117"/>
      <c r="K185" s="75">
        <f t="shared" ref="K185:K189" si="108">(E185*G185*H185)+(I185*J185*E185*G185)</f>
        <v>0</v>
      </c>
      <c r="L185" s="76">
        <v>0.09</v>
      </c>
      <c r="M185" s="79">
        <f t="shared" ref="M185:M189" si="109">K185/(1-L185)</f>
        <v>0</v>
      </c>
      <c r="N185" s="84"/>
      <c r="O185" s="60"/>
      <c r="P185" s="116">
        <v>1.0</v>
      </c>
      <c r="Q185" s="116" t="s">
        <v>45</v>
      </c>
      <c r="R185" s="117">
        <v>1.0</v>
      </c>
      <c r="S185" s="117"/>
      <c r="T185" s="117"/>
      <c r="U185" s="117"/>
      <c r="V185" s="75">
        <f t="shared" ref="V185:V189" si="110">(P185*R185*S185)+(T185*U185*P185*R185)</f>
        <v>0</v>
      </c>
      <c r="W185" s="76">
        <v>0.09</v>
      </c>
      <c r="X185" s="79">
        <f t="shared" ref="X185:X189" si="111">V185/(1-W185)</f>
        <v>0</v>
      </c>
      <c r="Y185" s="75">
        <v>0.0</v>
      </c>
      <c r="Z185" s="76">
        <v>0.09</v>
      </c>
      <c r="AA185" s="79">
        <f t="shared" ref="AA185:AA189" si="112">Y185/(1-Z185)</f>
        <v>0</v>
      </c>
    </row>
    <row r="186" ht="15.75" customHeight="1">
      <c r="A186" s="85"/>
      <c r="B186" s="115" t="s">
        <v>185</v>
      </c>
      <c r="C186" s="42"/>
      <c r="D186" s="43"/>
      <c r="E186" s="154">
        <v>1.0</v>
      </c>
      <c r="F186" s="116" t="s">
        <v>45</v>
      </c>
      <c r="G186" s="75">
        <v>1.0</v>
      </c>
      <c r="H186" s="75"/>
      <c r="I186" s="75"/>
      <c r="J186" s="75"/>
      <c r="K186" s="75">
        <f t="shared" si="108"/>
        <v>0</v>
      </c>
      <c r="L186" s="76">
        <v>0.09</v>
      </c>
      <c r="M186" s="79">
        <f t="shared" si="109"/>
        <v>0</v>
      </c>
      <c r="N186" s="84"/>
      <c r="O186" s="60"/>
      <c r="P186" s="154">
        <v>1.0</v>
      </c>
      <c r="Q186" s="116" t="s">
        <v>45</v>
      </c>
      <c r="R186" s="75">
        <v>1.0</v>
      </c>
      <c r="S186" s="75"/>
      <c r="T186" s="75"/>
      <c r="U186" s="75"/>
      <c r="V186" s="75">
        <f t="shared" si="110"/>
        <v>0</v>
      </c>
      <c r="W186" s="76">
        <v>0.09</v>
      </c>
      <c r="X186" s="79">
        <f t="shared" si="111"/>
        <v>0</v>
      </c>
      <c r="Y186" s="75">
        <v>0.0</v>
      </c>
      <c r="Z186" s="76">
        <v>0.09</v>
      </c>
      <c r="AA186" s="79">
        <f t="shared" si="112"/>
        <v>0</v>
      </c>
    </row>
    <row r="187" ht="15.75" customHeight="1">
      <c r="A187" s="85"/>
      <c r="B187" s="115" t="s">
        <v>186</v>
      </c>
      <c r="C187" s="42"/>
      <c r="D187" s="43"/>
      <c r="E187" s="154">
        <v>1.0</v>
      </c>
      <c r="F187" s="116" t="s">
        <v>45</v>
      </c>
      <c r="G187" s="75">
        <v>1.0</v>
      </c>
      <c r="H187" s="75"/>
      <c r="I187" s="75"/>
      <c r="J187" s="75"/>
      <c r="K187" s="75">
        <f t="shared" si="108"/>
        <v>0</v>
      </c>
      <c r="L187" s="76">
        <v>0.09</v>
      </c>
      <c r="M187" s="79">
        <f t="shared" si="109"/>
        <v>0</v>
      </c>
      <c r="N187" s="84"/>
      <c r="O187" s="60"/>
      <c r="P187" s="154">
        <v>1.0</v>
      </c>
      <c r="Q187" s="116" t="s">
        <v>45</v>
      </c>
      <c r="R187" s="75">
        <v>1.0</v>
      </c>
      <c r="S187" s="75">
        <v>15000.0</v>
      </c>
      <c r="T187" s="75"/>
      <c r="U187" s="75">
        <v>2000.0</v>
      </c>
      <c r="V187" s="75">
        <f t="shared" si="110"/>
        <v>15000</v>
      </c>
      <c r="W187" s="76">
        <v>0.09</v>
      </c>
      <c r="X187" s="79">
        <f t="shared" si="111"/>
        <v>16483.51648</v>
      </c>
      <c r="Y187" s="75">
        <v>0.0</v>
      </c>
      <c r="Z187" s="76">
        <v>0.09</v>
      </c>
      <c r="AA187" s="79">
        <f t="shared" si="112"/>
        <v>0</v>
      </c>
    </row>
    <row r="188" ht="15.75" customHeight="1">
      <c r="A188" s="85"/>
      <c r="B188" s="115" t="s">
        <v>187</v>
      </c>
      <c r="C188" s="42"/>
      <c r="D188" s="43"/>
      <c r="E188" s="154">
        <v>1.0</v>
      </c>
      <c r="F188" s="116" t="s">
        <v>45</v>
      </c>
      <c r="G188" s="75">
        <v>1.0</v>
      </c>
      <c r="H188" s="75"/>
      <c r="I188" s="75"/>
      <c r="J188" s="75"/>
      <c r="K188" s="75">
        <f t="shared" si="108"/>
        <v>0</v>
      </c>
      <c r="L188" s="76">
        <v>0.09</v>
      </c>
      <c r="M188" s="79">
        <f t="shared" si="109"/>
        <v>0</v>
      </c>
      <c r="N188" s="84"/>
      <c r="O188" s="60"/>
      <c r="P188" s="154">
        <v>1.0</v>
      </c>
      <c r="Q188" s="116" t="s">
        <v>45</v>
      </c>
      <c r="R188" s="75">
        <v>1.0</v>
      </c>
      <c r="S188" s="75">
        <v>12500.0</v>
      </c>
      <c r="T188" s="75"/>
      <c r="U188" s="75">
        <v>1500.0</v>
      </c>
      <c r="V188" s="75">
        <f t="shared" si="110"/>
        <v>12500</v>
      </c>
      <c r="W188" s="76">
        <v>0.09</v>
      </c>
      <c r="X188" s="79">
        <f t="shared" si="111"/>
        <v>13736.26374</v>
      </c>
      <c r="Y188" s="75">
        <v>0.0</v>
      </c>
      <c r="Z188" s="76">
        <v>0.09</v>
      </c>
      <c r="AA188" s="79">
        <f t="shared" si="112"/>
        <v>0</v>
      </c>
    </row>
    <row r="189" ht="15.75" customHeight="1">
      <c r="A189" s="85"/>
      <c r="B189" s="69" t="s">
        <v>188</v>
      </c>
      <c r="C189" s="70"/>
      <c r="D189" s="71"/>
      <c r="E189" s="154">
        <v>1.0</v>
      </c>
      <c r="F189" s="154" t="s">
        <v>145</v>
      </c>
      <c r="G189" s="75">
        <v>1.0</v>
      </c>
      <c r="H189" s="75"/>
      <c r="I189" s="175"/>
      <c r="J189" s="175"/>
      <c r="K189" s="75">
        <f t="shared" si="108"/>
        <v>0</v>
      </c>
      <c r="L189" s="76">
        <v>0.09</v>
      </c>
      <c r="M189" s="79">
        <f t="shared" si="109"/>
        <v>0</v>
      </c>
      <c r="N189" s="84"/>
      <c r="O189" s="60"/>
      <c r="P189" s="154">
        <v>1.0</v>
      </c>
      <c r="Q189" s="154" t="s">
        <v>145</v>
      </c>
      <c r="R189" s="75">
        <v>1.0</v>
      </c>
      <c r="S189" s="75"/>
      <c r="T189" s="175"/>
      <c r="U189" s="175"/>
      <c r="V189" s="75">
        <f t="shared" si="110"/>
        <v>0</v>
      </c>
      <c r="W189" s="76">
        <v>0.09</v>
      </c>
      <c r="X189" s="79">
        <f t="shared" si="111"/>
        <v>0</v>
      </c>
      <c r="Y189" s="75">
        <v>0.0</v>
      </c>
      <c r="Z189" s="76">
        <v>0.09</v>
      </c>
      <c r="AA189" s="79">
        <f t="shared" si="112"/>
        <v>0</v>
      </c>
    </row>
    <row r="190" ht="15.75" customHeight="1">
      <c r="A190" s="85"/>
      <c r="B190" s="85"/>
      <c r="C190" s="85"/>
      <c r="D190" s="85"/>
      <c r="E190" s="88"/>
      <c r="F190" s="95"/>
      <c r="G190" s="90"/>
      <c r="H190" s="90"/>
      <c r="I190" s="91"/>
      <c r="J190" s="91"/>
      <c r="K190" s="91"/>
      <c r="L190" s="92" t="s">
        <v>189</v>
      </c>
      <c r="M190" s="93">
        <f>SUM(M185:M189)</f>
        <v>0</v>
      </c>
      <c r="N190" s="94"/>
      <c r="O190" s="60"/>
      <c r="P190" s="95"/>
      <c r="Q190" s="95"/>
      <c r="R190" s="90"/>
      <c r="S190" s="90"/>
      <c r="T190" s="91"/>
      <c r="U190" s="91"/>
      <c r="V190" s="91"/>
      <c r="W190" s="92" t="s">
        <v>189</v>
      </c>
      <c r="X190" s="93">
        <f>SUM(X185:X189)</f>
        <v>30219.78022</v>
      </c>
      <c r="Y190" s="91"/>
      <c r="Z190" s="92" t="s">
        <v>189</v>
      </c>
      <c r="AA190" s="93">
        <f>SUM(AA185:AA189)</f>
        <v>0</v>
      </c>
    </row>
    <row r="191" ht="9.75" customHeight="1">
      <c r="A191" s="96"/>
      <c r="B191" s="96"/>
      <c r="C191" s="96"/>
      <c r="D191" s="96"/>
      <c r="E191" s="176"/>
      <c r="F191" s="137"/>
      <c r="G191" s="96"/>
      <c r="H191" s="96"/>
      <c r="I191" s="96"/>
      <c r="J191" s="96"/>
      <c r="K191" s="96"/>
      <c r="L191" s="96"/>
      <c r="M191" s="138"/>
      <c r="N191" s="177"/>
      <c r="O191" s="60"/>
      <c r="P191" s="137"/>
      <c r="Q191" s="137"/>
      <c r="R191" s="96"/>
      <c r="S191" s="96"/>
      <c r="T191" s="96"/>
      <c r="U191" s="96"/>
      <c r="V191" s="96"/>
      <c r="W191" s="96"/>
      <c r="X191" s="138"/>
      <c r="Y191" s="139"/>
      <c r="Z191" s="96"/>
      <c r="AA191" s="139"/>
    </row>
    <row r="192" ht="15.75" customHeight="1">
      <c r="A192" s="61" t="s">
        <v>190</v>
      </c>
      <c r="B192" s="62"/>
      <c r="C192" s="62"/>
      <c r="D192" s="63"/>
      <c r="E192" s="195"/>
      <c r="F192" s="141"/>
      <c r="G192" s="142"/>
      <c r="H192" s="142"/>
      <c r="I192" s="142"/>
      <c r="J192" s="142"/>
      <c r="K192" s="142"/>
      <c r="L192" s="142"/>
      <c r="M192" s="143"/>
      <c r="N192" s="196"/>
      <c r="O192" s="60"/>
      <c r="P192" s="141"/>
      <c r="Q192" s="141"/>
      <c r="R192" s="142"/>
      <c r="S192" s="142"/>
      <c r="T192" s="142"/>
      <c r="U192" s="142"/>
      <c r="V192" s="142"/>
      <c r="W192" s="142"/>
      <c r="X192" s="143"/>
      <c r="Y192" s="142"/>
      <c r="Z192" s="142"/>
      <c r="AA192" s="143"/>
    </row>
    <row r="193" ht="15.75" customHeight="1">
      <c r="A193" s="105"/>
      <c r="B193" s="145" t="s">
        <v>42</v>
      </c>
      <c r="C193" s="146"/>
      <c r="D193" s="147"/>
      <c r="E193" s="197"/>
      <c r="F193" s="148"/>
      <c r="G193" s="149"/>
      <c r="H193" s="149"/>
      <c r="I193" s="149"/>
      <c r="J193" s="149"/>
      <c r="K193" s="149"/>
      <c r="L193" s="149"/>
      <c r="M193" s="150"/>
      <c r="N193" s="198"/>
      <c r="O193" s="60"/>
      <c r="P193" s="148"/>
      <c r="Q193" s="148"/>
      <c r="R193" s="149"/>
      <c r="S193" s="149"/>
      <c r="T193" s="149"/>
      <c r="U193" s="149"/>
      <c r="V193" s="149"/>
      <c r="W193" s="149"/>
      <c r="X193" s="150"/>
      <c r="Y193" s="149"/>
      <c r="Z193" s="149"/>
      <c r="AA193" s="150"/>
    </row>
    <row r="194" ht="15.75" customHeight="1">
      <c r="A194" s="85"/>
      <c r="B194" s="188" t="s">
        <v>191</v>
      </c>
      <c r="C194" s="189"/>
      <c r="D194" s="190"/>
      <c r="E194" s="191">
        <v>1.0</v>
      </c>
      <c r="F194" s="191" t="s">
        <v>45</v>
      </c>
      <c r="G194" s="192">
        <v>1.0</v>
      </c>
      <c r="H194" s="192"/>
      <c r="I194" s="192"/>
      <c r="J194" s="192"/>
      <c r="K194" s="75">
        <f>(E194*G194*H194)+(I194*J194*E194*G194)</f>
        <v>0</v>
      </c>
      <c r="L194" s="76">
        <v>0.09</v>
      </c>
      <c r="M194" s="79">
        <f>K194/(1-L194)</f>
        <v>0</v>
      </c>
      <c r="N194" s="84"/>
      <c r="O194" s="60"/>
      <c r="P194" s="191">
        <v>1.0</v>
      </c>
      <c r="Q194" s="191" t="s">
        <v>45</v>
      </c>
      <c r="R194" s="192">
        <v>1.0</v>
      </c>
      <c r="S194" s="192"/>
      <c r="T194" s="192"/>
      <c r="U194" s="192"/>
      <c r="V194" s="75">
        <f>(P194*R194*S194)+(T194*U194*P194*R194)</f>
        <v>0</v>
      </c>
      <c r="W194" s="76">
        <v>0.09</v>
      </c>
      <c r="X194" s="79">
        <f>V194/(1-W194)</f>
        <v>0</v>
      </c>
      <c r="Y194" s="75">
        <v>0.0</v>
      </c>
      <c r="Z194" s="76">
        <v>0.09</v>
      </c>
      <c r="AA194" s="79">
        <f>Y194/(1-Z194)</f>
        <v>0</v>
      </c>
    </row>
    <row r="195" ht="15.75" customHeight="1">
      <c r="A195" s="118"/>
      <c r="B195" s="126" t="s">
        <v>192</v>
      </c>
      <c r="C195" s="157"/>
      <c r="D195" s="158"/>
      <c r="E195" s="122"/>
      <c r="F195" s="123"/>
      <c r="G195" s="124"/>
      <c r="H195" s="124"/>
      <c r="I195" s="124"/>
      <c r="J195" s="124"/>
      <c r="K195" s="124"/>
      <c r="L195" s="124"/>
      <c r="M195" s="125"/>
      <c r="N195" s="173"/>
      <c r="O195" s="60"/>
      <c r="P195" s="123"/>
      <c r="Q195" s="123"/>
      <c r="R195" s="124"/>
      <c r="S195" s="124"/>
      <c r="T195" s="124"/>
      <c r="U195" s="124"/>
      <c r="V195" s="124"/>
      <c r="W195" s="124"/>
      <c r="X195" s="125"/>
      <c r="Y195" s="124"/>
      <c r="Z195" s="124"/>
      <c r="AA195" s="125"/>
    </row>
    <row r="196" ht="15.75" customHeight="1">
      <c r="A196" s="85"/>
      <c r="B196" s="151" t="s">
        <v>193</v>
      </c>
      <c r="C196" s="152"/>
      <c r="D196" s="153"/>
      <c r="E196" s="116">
        <v>1.0</v>
      </c>
      <c r="F196" s="116" t="s">
        <v>45</v>
      </c>
      <c r="G196" s="117">
        <v>1.0</v>
      </c>
      <c r="H196" s="117"/>
      <c r="I196" s="117"/>
      <c r="J196" s="117"/>
      <c r="K196" s="75">
        <f t="shared" ref="K196:K208" si="113">(E196*G196*H196)+(I196*J196*E196*G196)</f>
        <v>0</v>
      </c>
      <c r="L196" s="76">
        <v>0.09</v>
      </c>
      <c r="M196" s="79">
        <f t="shared" ref="M196:M208" si="114">K196/(1-L196)</f>
        <v>0</v>
      </c>
      <c r="N196" s="84"/>
      <c r="O196" s="60"/>
      <c r="P196" s="116">
        <v>1.0</v>
      </c>
      <c r="Q196" s="116" t="s">
        <v>45</v>
      </c>
      <c r="R196" s="117">
        <v>1.0</v>
      </c>
      <c r="S196" s="117"/>
      <c r="T196" s="117"/>
      <c r="U196" s="117"/>
      <c r="V196" s="75">
        <f t="shared" ref="V196:V208" si="115">(P196*R196*S196)+(T196*U196*P196*R196)</f>
        <v>0</v>
      </c>
      <c r="W196" s="76">
        <v>0.09</v>
      </c>
      <c r="X196" s="79">
        <f t="shared" ref="X196:X208" si="116">V196/(1-W196)</f>
        <v>0</v>
      </c>
      <c r="Y196" s="75">
        <v>0.0</v>
      </c>
      <c r="Z196" s="76">
        <v>0.09</v>
      </c>
      <c r="AA196" s="79">
        <f t="shared" ref="AA196:AA208" si="117">Y196/(1-Z196)</f>
        <v>0</v>
      </c>
    </row>
    <row r="197" ht="15.75" customHeight="1">
      <c r="A197" s="85"/>
      <c r="B197" s="115" t="s">
        <v>194</v>
      </c>
      <c r="C197" s="42"/>
      <c r="D197" s="43"/>
      <c r="E197" s="116">
        <v>1.0</v>
      </c>
      <c r="F197" s="116" t="s">
        <v>45</v>
      </c>
      <c r="G197" s="117">
        <v>1.0</v>
      </c>
      <c r="H197" s="117"/>
      <c r="I197" s="75"/>
      <c r="J197" s="75"/>
      <c r="K197" s="75">
        <f t="shared" si="113"/>
        <v>0</v>
      </c>
      <c r="L197" s="76">
        <v>0.09</v>
      </c>
      <c r="M197" s="79">
        <f t="shared" si="114"/>
        <v>0</v>
      </c>
      <c r="N197" s="84"/>
      <c r="O197" s="60"/>
      <c r="P197" s="116">
        <v>1.0</v>
      </c>
      <c r="Q197" s="116" t="s">
        <v>45</v>
      </c>
      <c r="R197" s="117">
        <v>1.0</v>
      </c>
      <c r="S197" s="117"/>
      <c r="T197" s="75"/>
      <c r="U197" s="75"/>
      <c r="V197" s="75">
        <f t="shared" si="115"/>
        <v>0</v>
      </c>
      <c r="W197" s="76">
        <v>0.09</v>
      </c>
      <c r="X197" s="79">
        <f t="shared" si="116"/>
        <v>0</v>
      </c>
      <c r="Y197" s="75">
        <v>0.0</v>
      </c>
      <c r="Z197" s="76">
        <v>0.09</v>
      </c>
      <c r="AA197" s="79">
        <f t="shared" si="117"/>
        <v>0</v>
      </c>
    </row>
    <row r="198" ht="15.75" customHeight="1">
      <c r="A198" s="85"/>
      <c r="B198" s="115" t="s">
        <v>195</v>
      </c>
      <c r="C198" s="42"/>
      <c r="D198" s="43"/>
      <c r="E198" s="116">
        <v>1.0</v>
      </c>
      <c r="F198" s="116" t="s">
        <v>45</v>
      </c>
      <c r="G198" s="117">
        <v>1.0</v>
      </c>
      <c r="H198" s="117"/>
      <c r="I198" s="75"/>
      <c r="J198" s="75"/>
      <c r="K198" s="75">
        <f t="shared" si="113"/>
        <v>0</v>
      </c>
      <c r="L198" s="76">
        <v>0.09</v>
      </c>
      <c r="M198" s="79">
        <f t="shared" si="114"/>
        <v>0</v>
      </c>
      <c r="N198" s="84"/>
      <c r="O198" s="60"/>
      <c r="P198" s="116">
        <v>1.0</v>
      </c>
      <c r="Q198" s="116" t="s">
        <v>45</v>
      </c>
      <c r="R198" s="117">
        <v>1.0</v>
      </c>
      <c r="S198" s="117"/>
      <c r="T198" s="75"/>
      <c r="U198" s="75"/>
      <c r="V198" s="75">
        <f t="shared" si="115"/>
        <v>0</v>
      </c>
      <c r="W198" s="76">
        <v>0.09</v>
      </c>
      <c r="X198" s="79">
        <f t="shared" si="116"/>
        <v>0</v>
      </c>
      <c r="Y198" s="75">
        <v>0.0</v>
      </c>
      <c r="Z198" s="76">
        <v>0.09</v>
      </c>
      <c r="AA198" s="79">
        <f t="shared" si="117"/>
        <v>0</v>
      </c>
    </row>
    <row r="199" ht="15.75" customHeight="1">
      <c r="A199" s="85"/>
      <c r="B199" s="115" t="s">
        <v>196</v>
      </c>
      <c r="C199" s="42"/>
      <c r="D199" s="43"/>
      <c r="E199" s="116">
        <v>1.0</v>
      </c>
      <c r="F199" s="116" t="s">
        <v>45</v>
      </c>
      <c r="G199" s="117">
        <v>1.0</v>
      </c>
      <c r="H199" s="117"/>
      <c r="I199" s="75"/>
      <c r="J199" s="75"/>
      <c r="K199" s="75">
        <f t="shared" si="113"/>
        <v>0</v>
      </c>
      <c r="L199" s="76">
        <v>0.09</v>
      </c>
      <c r="M199" s="79">
        <f t="shared" si="114"/>
        <v>0</v>
      </c>
      <c r="N199" s="84"/>
      <c r="O199" s="60"/>
      <c r="P199" s="116">
        <v>1.0</v>
      </c>
      <c r="Q199" s="116" t="s">
        <v>45</v>
      </c>
      <c r="R199" s="117">
        <v>1.0</v>
      </c>
      <c r="S199" s="117"/>
      <c r="T199" s="75"/>
      <c r="U199" s="75"/>
      <c r="V199" s="75">
        <f t="shared" si="115"/>
        <v>0</v>
      </c>
      <c r="W199" s="76">
        <v>0.09</v>
      </c>
      <c r="X199" s="79">
        <f t="shared" si="116"/>
        <v>0</v>
      </c>
      <c r="Y199" s="75">
        <v>0.0</v>
      </c>
      <c r="Z199" s="76">
        <v>0.09</v>
      </c>
      <c r="AA199" s="79">
        <f t="shared" si="117"/>
        <v>0</v>
      </c>
    </row>
    <row r="200" ht="15.75" customHeight="1">
      <c r="A200" s="85"/>
      <c r="B200" s="115" t="s">
        <v>197</v>
      </c>
      <c r="C200" s="42"/>
      <c r="D200" s="43"/>
      <c r="E200" s="116">
        <v>1.0</v>
      </c>
      <c r="F200" s="116" t="s">
        <v>45</v>
      </c>
      <c r="G200" s="117">
        <v>1.0</v>
      </c>
      <c r="H200" s="117"/>
      <c r="I200" s="75"/>
      <c r="J200" s="75"/>
      <c r="K200" s="75">
        <f t="shared" si="113"/>
        <v>0</v>
      </c>
      <c r="L200" s="76">
        <v>0.09</v>
      </c>
      <c r="M200" s="79">
        <f t="shared" si="114"/>
        <v>0</v>
      </c>
      <c r="N200" s="84"/>
      <c r="O200" s="60"/>
      <c r="P200" s="116">
        <v>1.0</v>
      </c>
      <c r="Q200" s="116" t="s">
        <v>45</v>
      </c>
      <c r="R200" s="117">
        <v>1.0</v>
      </c>
      <c r="S200" s="117"/>
      <c r="T200" s="75"/>
      <c r="U200" s="75"/>
      <c r="V200" s="75">
        <f t="shared" si="115"/>
        <v>0</v>
      </c>
      <c r="W200" s="76">
        <v>0.09</v>
      </c>
      <c r="X200" s="79">
        <f t="shared" si="116"/>
        <v>0</v>
      </c>
      <c r="Y200" s="75">
        <v>0.0</v>
      </c>
      <c r="Z200" s="76">
        <v>0.09</v>
      </c>
      <c r="AA200" s="79">
        <f t="shared" si="117"/>
        <v>0</v>
      </c>
    </row>
    <row r="201" ht="15.75" customHeight="1">
      <c r="A201" s="85"/>
      <c r="B201" s="115" t="s">
        <v>198</v>
      </c>
      <c r="C201" s="42"/>
      <c r="D201" s="43"/>
      <c r="E201" s="116">
        <v>1.0</v>
      </c>
      <c r="F201" s="116" t="s">
        <v>45</v>
      </c>
      <c r="G201" s="117">
        <v>1.0</v>
      </c>
      <c r="H201" s="117"/>
      <c r="I201" s="75"/>
      <c r="J201" s="75"/>
      <c r="K201" s="75">
        <f t="shared" si="113"/>
        <v>0</v>
      </c>
      <c r="L201" s="76">
        <v>0.09</v>
      </c>
      <c r="M201" s="79">
        <f t="shared" si="114"/>
        <v>0</v>
      </c>
      <c r="N201" s="84"/>
      <c r="O201" s="60"/>
      <c r="P201" s="116">
        <v>1.0</v>
      </c>
      <c r="Q201" s="116" t="s">
        <v>45</v>
      </c>
      <c r="R201" s="117">
        <v>1.0</v>
      </c>
      <c r="S201" s="117"/>
      <c r="T201" s="75"/>
      <c r="U201" s="75"/>
      <c r="V201" s="75">
        <f t="shared" si="115"/>
        <v>0</v>
      </c>
      <c r="W201" s="76">
        <v>0.09</v>
      </c>
      <c r="X201" s="79">
        <f t="shared" si="116"/>
        <v>0</v>
      </c>
      <c r="Y201" s="75">
        <v>0.0</v>
      </c>
      <c r="Z201" s="76">
        <v>0.09</v>
      </c>
      <c r="AA201" s="79">
        <f t="shared" si="117"/>
        <v>0</v>
      </c>
    </row>
    <row r="202" ht="15.75" customHeight="1">
      <c r="A202" s="85"/>
      <c r="B202" s="115" t="s">
        <v>199</v>
      </c>
      <c r="C202" s="42"/>
      <c r="D202" s="43"/>
      <c r="E202" s="116">
        <v>1.0</v>
      </c>
      <c r="F202" s="116" t="s">
        <v>45</v>
      </c>
      <c r="G202" s="117">
        <v>1.0</v>
      </c>
      <c r="H202" s="117"/>
      <c r="I202" s="75"/>
      <c r="J202" s="75"/>
      <c r="K202" s="75">
        <f t="shared" si="113"/>
        <v>0</v>
      </c>
      <c r="L202" s="76">
        <v>0.09</v>
      </c>
      <c r="M202" s="79">
        <f t="shared" si="114"/>
        <v>0</v>
      </c>
      <c r="N202" s="84"/>
      <c r="O202" s="60"/>
      <c r="P202" s="116">
        <v>1.0</v>
      </c>
      <c r="Q202" s="116" t="s">
        <v>45</v>
      </c>
      <c r="R202" s="117">
        <v>1.0</v>
      </c>
      <c r="S202" s="117"/>
      <c r="T202" s="75"/>
      <c r="U202" s="75"/>
      <c r="V202" s="75">
        <f t="shared" si="115"/>
        <v>0</v>
      </c>
      <c r="W202" s="76">
        <v>0.09</v>
      </c>
      <c r="X202" s="79">
        <f t="shared" si="116"/>
        <v>0</v>
      </c>
      <c r="Y202" s="75">
        <v>0.0</v>
      </c>
      <c r="Z202" s="76">
        <v>0.09</v>
      </c>
      <c r="AA202" s="79">
        <f t="shared" si="117"/>
        <v>0</v>
      </c>
    </row>
    <row r="203" ht="15.75" customHeight="1">
      <c r="A203" s="85"/>
      <c r="B203" s="115" t="s">
        <v>200</v>
      </c>
      <c r="C203" s="42"/>
      <c r="D203" s="43"/>
      <c r="E203" s="116">
        <v>1.0</v>
      </c>
      <c r="F203" s="116" t="s">
        <v>45</v>
      </c>
      <c r="G203" s="117">
        <v>1.0</v>
      </c>
      <c r="H203" s="117"/>
      <c r="I203" s="75"/>
      <c r="J203" s="75"/>
      <c r="K203" s="75">
        <f t="shared" si="113"/>
        <v>0</v>
      </c>
      <c r="L203" s="76">
        <v>0.09</v>
      </c>
      <c r="M203" s="79">
        <f t="shared" si="114"/>
        <v>0</v>
      </c>
      <c r="N203" s="84"/>
      <c r="O203" s="60"/>
      <c r="P203" s="116">
        <v>1.0</v>
      </c>
      <c r="Q203" s="116" t="s">
        <v>45</v>
      </c>
      <c r="R203" s="117">
        <v>1.0</v>
      </c>
      <c r="S203" s="117"/>
      <c r="T203" s="75"/>
      <c r="U203" s="75"/>
      <c r="V203" s="75">
        <f t="shared" si="115"/>
        <v>0</v>
      </c>
      <c r="W203" s="76">
        <v>0.09</v>
      </c>
      <c r="X203" s="79">
        <f t="shared" si="116"/>
        <v>0</v>
      </c>
      <c r="Y203" s="75">
        <v>0.0</v>
      </c>
      <c r="Z203" s="76">
        <v>0.09</v>
      </c>
      <c r="AA203" s="79">
        <f t="shared" si="117"/>
        <v>0</v>
      </c>
    </row>
    <row r="204" ht="15.75" customHeight="1">
      <c r="A204" s="85"/>
      <c r="B204" s="115" t="s">
        <v>201</v>
      </c>
      <c r="C204" s="42"/>
      <c r="D204" s="43"/>
      <c r="E204" s="116">
        <v>1.0</v>
      </c>
      <c r="F204" s="116" t="s">
        <v>45</v>
      </c>
      <c r="G204" s="117">
        <v>1.0</v>
      </c>
      <c r="H204" s="117"/>
      <c r="I204" s="75"/>
      <c r="J204" s="75"/>
      <c r="K204" s="75">
        <f t="shared" si="113"/>
        <v>0</v>
      </c>
      <c r="L204" s="76">
        <v>0.09</v>
      </c>
      <c r="M204" s="79">
        <f t="shared" si="114"/>
        <v>0</v>
      </c>
      <c r="N204" s="84"/>
      <c r="O204" s="60"/>
      <c r="P204" s="116">
        <v>1.0</v>
      </c>
      <c r="Q204" s="116" t="s">
        <v>45</v>
      </c>
      <c r="R204" s="117">
        <v>1.0</v>
      </c>
      <c r="S204" s="117"/>
      <c r="T204" s="75"/>
      <c r="U204" s="75"/>
      <c r="V204" s="75">
        <f t="shared" si="115"/>
        <v>0</v>
      </c>
      <c r="W204" s="76">
        <v>0.09</v>
      </c>
      <c r="X204" s="79">
        <f t="shared" si="116"/>
        <v>0</v>
      </c>
      <c r="Y204" s="75">
        <v>0.0</v>
      </c>
      <c r="Z204" s="76">
        <v>0.09</v>
      </c>
      <c r="AA204" s="79">
        <f t="shared" si="117"/>
        <v>0</v>
      </c>
    </row>
    <row r="205" ht="15.75" customHeight="1">
      <c r="A205" s="85"/>
      <c r="B205" s="115" t="s">
        <v>202</v>
      </c>
      <c r="C205" s="42"/>
      <c r="D205" s="43"/>
      <c r="E205" s="116">
        <v>1.0</v>
      </c>
      <c r="F205" s="116" t="s">
        <v>45</v>
      </c>
      <c r="G205" s="117">
        <v>1.0</v>
      </c>
      <c r="H205" s="117"/>
      <c r="I205" s="75"/>
      <c r="J205" s="75"/>
      <c r="K205" s="75">
        <f t="shared" si="113"/>
        <v>0</v>
      </c>
      <c r="L205" s="76">
        <v>0.09</v>
      </c>
      <c r="M205" s="79">
        <f t="shared" si="114"/>
        <v>0</v>
      </c>
      <c r="N205" s="84"/>
      <c r="O205" s="60"/>
      <c r="P205" s="116">
        <v>1.0</v>
      </c>
      <c r="Q205" s="116" t="s">
        <v>45</v>
      </c>
      <c r="R205" s="117">
        <v>1.0</v>
      </c>
      <c r="S205" s="117"/>
      <c r="T205" s="75"/>
      <c r="U205" s="75"/>
      <c r="V205" s="75">
        <f t="shared" si="115"/>
        <v>0</v>
      </c>
      <c r="W205" s="76">
        <v>0.09</v>
      </c>
      <c r="X205" s="79">
        <f t="shared" si="116"/>
        <v>0</v>
      </c>
      <c r="Y205" s="75">
        <v>0.0</v>
      </c>
      <c r="Z205" s="76">
        <v>0.09</v>
      </c>
      <c r="AA205" s="79">
        <f t="shared" si="117"/>
        <v>0</v>
      </c>
    </row>
    <row r="206" ht="15.75" customHeight="1">
      <c r="A206" s="85"/>
      <c r="B206" s="115" t="s">
        <v>203</v>
      </c>
      <c r="C206" s="42"/>
      <c r="D206" s="43"/>
      <c r="E206" s="116">
        <v>1.0</v>
      </c>
      <c r="F206" s="116" t="s">
        <v>45</v>
      </c>
      <c r="G206" s="117">
        <v>1.0</v>
      </c>
      <c r="H206" s="117"/>
      <c r="I206" s="75"/>
      <c r="J206" s="75"/>
      <c r="K206" s="75">
        <f t="shared" si="113"/>
        <v>0</v>
      </c>
      <c r="L206" s="76">
        <v>0.09</v>
      </c>
      <c r="M206" s="79">
        <f t="shared" si="114"/>
        <v>0</v>
      </c>
      <c r="N206" s="84"/>
      <c r="O206" s="60"/>
      <c r="P206" s="116">
        <v>1.0</v>
      </c>
      <c r="Q206" s="116" t="s">
        <v>45</v>
      </c>
      <c r="R206" s="117">
        <v>1.0</v>
      </c>
      <c r="S206" s="117"/>
      <c r="T206" s="75"/>
      <c r="U206" s="75"/>
      <c r="V206" s="75">
        <f t="shared" si="115"/>
        <v>0</v>
      </c>
      <c r="W206" s="76">
        <v>0.09</v>
      </c>
      <c r="X206" s="79">
        <f t="shared" si="116"/>
        <v>0</v>
      </c>
      <c r="Y206" s="75">
        <v>0.0</v>
      </c>
      <c r="Z206" s="76">
        <v>0.09</v>
      </c>
      <c r="AA206" s="79">
        <f t="shared" si="117"/>
        <v>0</v>
      </c>
    </row>
    <row r="207" ht="15.75" customHeight="1">
      <c r="A207" s="85"/>
      <c r="B207" s="69" t="s">
        <v>204</v>
      </c>
      <c r="C207" s="70"/>
      <c r="D207" s="71"/>
      <c r="E207" s="116">
        <v>1.0</v>
      </c>
      <c r="F207" s="116" t="s">
        <v>45</v>
      </c>
      <c r="G207" s="117">
        <v>1.0</v>
      </c>
      <c r="H207" s="117"/>
      <c r="I207" s="175"/>
      <c r="J207" s="175"/>
      <c r="K207" s="75">
        <f t="shared" si="113"/>
        <v>0</v>
      </c>
      <c r="L207" s="76">
        <v>0.09</v>
      </c>
      <c r="M207" s="79">
        <f t="shared" si="114"/>
        <v>0</v>
      </c>
      <c r="N207" s="84"/>
      <c r="O207" s="60"/>
      <c r="P207" s="116">
        <v>1.0</v>
      </c>
      <c r="Q207" s="116" t="s">
        <v>45</v>
      </c>
      <c r="R207" s="117">
        <v>1.0</v>
      </c>
      <c r="S207" s="117"/>
      <c r="T207" s="175"/>
      <c r="U207" s="175"/>
      <c r="V207" s="75">
        <f t="shared" si="115"/>
        <v>0</v>
      </c>
      <c r="W207" s="76">
        <v>0.09</v>
      </c>
      <c r="X207" s="79">
        <f t="shared" si="116"/>
        <v>0</v>
      </c>
      <c r="Y207" s="75">
        <v>0.0</v>
      </c>
      <c r="Z207" s="76">
        <v>0.09</v>
      </c>
      <c r="AA207" s="79">
        <f t="shared" si="117"/>
        <v>0</v>
      </c>
    </row>
    <row r="208" ht="15.75" customHeight="1">
      <c r="A208" s="85"/>
      <c r="B208" s="69" t="s">
        <v>205</v>
      </c>
      <c r="C208" s="70"/>
      <c r="D208" s="71"/>
      <c r="E208" s="116">
        <v>1.0</v>
      </c>
      <c r="F208" s="116" t="s">
        <v>45</v>
      </c>
      <c r="G208" s="117">
        <v>1.0</v>
      </c>
      <c r="H208" s="117"/>
      <c r="I208" s="175"/>
      <c r="J208" s="175"/>
      <c r="K208" s="75">
        <f t="shared" si="113"/>
        <v>0</v>
      </c>
      <c r="L208" s="76">
        <v>0.09</v>
      </c>
      <c r="M208" s="79">
        <f t="shared" si="114"/>
        <v>0</v>
      </c>
      <c r="N208" s="84"/>
      <c r="O208" s="60"/>
      <c r="P208" s="116">
        <v>1.0</v>
      </c>
      <c r="Q208" s="116" t="s">
        <v>45</v>
      </c>
      <c r="R208" s="117">
        <v>1.0</v>
      </c>
      <c r="S208" s="117"/>
      <c r="T208" s="175"/>
      <c r="U208" s="175"/>
      <c r="V208" s="75">
        <f t="shared" si="115"/>
        <v>0</v>
      </c>
      <c r="W208" s="76">
        <v>0.09</v>
      </c>
      <c r="X208" s="79">
        <f t="shared" si="116"/>
        <v>0</v>
      </c>
      <c r="Y208" s="75">
        <v>0.0</v>
      </c>
      <c r="Z208" s="76">
        <v>0.09</v>
      </c>
      <c r="AA208" s="79">
        <f t="shared" si="117"/>
        <v>0</v>
      </c>
    </row>
    <row r="209" ht="15.75" customHeight="1">
      <c r="A209" s="85"/>
      <c r="B209" s="85"/>
      <c r="C209" s="85"/>
      <c r="D209" s="85"/>
      <c r="E209" s="88"/>
      <c r="F209" s="95"/>
      <c r="G209" s="90"/>
      <c r="H209" s="90"/>
      <c r="I209" s="91"/>
      <c r="J209" s="91"/>
      <c r="K209" s="91"/>
      <c r="L209" s="92" t="s">
        <v>206</v>
      </c>
      <c r="M209" s="93">
        <f>SUM(M194:M208)</f>
        <v>0</v>
      </c>
      <c r="N209" s="94"/>
      <c r="O209" s="60"/>
      <c r="P209" s="95"/>
      <c r="Q209" s="95"/>
      <c r="R209" s="90"/>
      <c r="S209" s="90"/>
      <c r="T209" s="91"/>
      <c r="U209" s="91"/>
      <c r="V209" s="91"/>
      <c r="W209" s="92" t="s">
        <v>206</v>
      </c>
      <c r="X209" s="93">
        <f>SUM(X194:X208)</f>
        <v>0</v>
      </c>
      <c r="Y209" s="91"/>
      <c r="Z209" s="92" t="s">
        <v>206</v>
      </c>
      <c r="AA209" s="93">
        <f>SUM(AA194:AA208)</f>
        <v>0</v>
      </c>
    </row>
    <row r="210" ht="9.75" customHeight="1">
      <c r="A210" s="96"/>
      <c r="B210" s="96"/>
      <c r="C210" s="96"/>
      <c r="D210" s="96"/>
      <c r="E210" s="176"/>
      <c r="F210" s="137"/>
      <c r="G210" s="96"/>
      <c r="H210" s="96"/>
      <c r="I210" s="96"/>
      <c r="J210" s="96"/>
      <c r="K210" s="96"/>
      <c r="L210" s="96"/>
      <c r="M210" s="138"/>
      <c r="N210" s="177"/>
      <c r="O210" s="60"/>
      <c r="P210" s="137"/>
      <c r="Q210" s="137"/>
      <c r="R210" s="96"/>
      <c r="S210" s="96"/>
      <c r="T210" s="96"/>
      <c r="U210" s="96"/>
      <c r="V210" s="96"/>
      <c r="W210" s="96"/>
      <c r="X210" s="138"/>
      <c r="Y210" s="139"/>
      <c r="Z210" s="96"/>
      <c r="AA210" s="139"/>
    </row>
    <row r="211" ht="15.75" customHeight="1">
      <c r="A211" s="61" t="s">
        <v>207</v>
      </c>
      <c r="B211" s="62"/>
      <c r="C211" s="62"/>
      <c r="D211" s="63"/>
      <c r="E211" s="195"/>
      <c r="F211" s="141"/>
      <c r="G211" s="142"/>
      <c r="H211" s="142"/>
      <c r="I211" s="142"/>
      <c r="J211" s="142"/>
      <c r="K211" s="142"/>
      <c r="L211" s="142"/>
      <c r="M211" s="143"/>
      <c r="N211" s="196"/>
      <c r="O211" s="60"/>
      <c r="P211" s="141"/>
      <c r="Q211" s="141"/>
      <c r="R211" s="142"/>
      <c r="S211" s="142"/>
      <c r="T211" s="142"/>
      <c r="U211" s="142"/>
      <c r="V211" s="142"/>
      <c r="W211" s="142"/>
      <c r="X211" s="143"/>
      <c r="Y211" s="142"/>
      <c r="Z211" s="142"/>
      <c r="AA211" s="143"/>
    </row>
    <row r="212" ht="15.75" customHeight="1">
      <c r="A212" s="200"/>
      <c r="B212" s="126" t="s">
        <v>208</v>
      </c>
      <c r="C212" s="157"/>
      <c r="D212" s="158"/>
      <c r="E212" s="126" t="s">
        <v>208</v>
      </c>
      <c r="F212" s="157"/>
      <c r="G212" s="158"/>
      <c r="H212" s="124"/>
      <c r="I212" s="124"/>
      <c r="J212" s="124"/>
      <c r="K212" s="124"/>
      <c r="L212" s="124"/>
      <c r="M212" s="125"/>
      <c r="N212" s="173"/>
      <c r="O212" s="60"/>
      <c r="P212" s="201" t="s">
        <v>208</v>
      </c>
      <c r="Q212" s="157"/>
      <c r="R212" s="158"/>
      <c r="S212" s="122"/>
      <c r="T212" s="123"/>
      <c r="U212" s="124"/>
      <c r="V212" s="124"/>
      <c r="W212" s="124"/>
      <c r="X212" s="124"/>
      <c r="Y212" s="124"/>
      <c r="Z212" s="124"/>
      <c r="AA212" s="125"/>
    </row>
    <row r="213" ht="15.75" customHeight="1">
      <c r="A213" s="200"/>
      <c r="B213" s="151" t="s">
        <v>209</v>
      </c>
      <c r="C213" s="152"/>
      <c r="D213" s="153"/>
      <c r="E213" s="116">
        <v>1.0</v>
      </c>
      <c r="F213" s="116" t="s">
        <v>29</v>
      </c>
      <c r="G213" s="117">
        <v>1.0</v>
      </c>
      <c r="H213" s="117"/>
      <c r="I213" s="117"/>
      <c r="J213" s="117"/>
      <c r="K213" s="75">
        <f t="shared" ref="K213:K214" si="118">(E213*G213*H213)+(I213*J213*E213*G213)</f>
        <v>0</v>
      </c>
      <c r="L213" s="76">
        <v>0.09</v>
      </c>
      <c r="M213" s="79">
        <f t="shared" ref="M213:M214" si="119">K213/(1-L213)</f>
        <v>0</v>
      </c>
      <c r="N213" s="84"/>
      <c r="O213" s="60"/>
      <c r="P213" s="116">
        <v>1.0</v>
      </c>
      <c r="Q213" s="116" t="s">
        <v>29</v>
      </c>
      <c r="R213" s="117">
        <v>1.0</v>
      </c>
      <c r="S213" s="117"/>
      <c r="T213" s="117"/>
      <c r="U213" s="117"/>
      <c r="V213" s="75">
        <f t="shared" ref="V213:V214" si="120">(P213*R213*S213)+(T213*U213*P213*R213)</f>
        <v>0</v>
      </c>
      <c r="W213" s="76">
        <v>0.09</v>
      </c>
      <c r="X213" s="79">
        <f t="shared" ref="X213:X214" si="121">V213/(1-W213)</f>
        <v>0</v>
      </c>
      <c r="Y213" s="75">
        <v>0.0</v>
      </c>
      <c r="Z213" s="76">
        <v>0.09</v>
      </c>
      <c r="AA213" s="79">
        <f t="shared" ref="AA213:AA214" si="122">Y213/(1-Z213)</f>
        <v>0</v>
      </c>
    </row>
    <row r="214" ht="15.75" customHeight="1">
      <c r="A214" s="200"/>
      <c r="B214" s="151" t="s">
        <v>210</v>
      </c>
      <c r="C214" s="152"/>
      <c r="D214" s="153"/>
      <c r="E214" s="116">
        <v>1.0</v>
      </c>
      <c r="F214" s="116" t="s">
        <v>29</v>
      </c>
      <c r="G214" s="117">
        <v>1.0</v>
      </c>
      <c r="H214" s="117"/>
      <c r="I214" s="117"/>
      <c r="J214" s="117"/>
      <c r="K214" s="75">
        <f t="shared" si="118"/>
        <v>0</v>
      </c>
      <c r="L214" s="76">
        <v>0.09</v>
      </c>
      <c r="M214" s="79">
        <f t="shared" si="119"/>
        <v>0</v>
      </c>
      <c r="N214" s="84"/>
      <c r="O214" s="60"/>
      <c r="P214" s="116">
        <v>1.0</v>
      </c>
      <c r="Q214" s="116" t="s">
        <v>29</v>
      </c>
      <c r="R214" s="117">
        <v>1.0</v>
      </c>
      <c r="S214" s="117"/>
      <c r="T214" s="117"/>
      <c r="U214" s="117"/>
      <c r="V214" s="75">
        <f t="shared" si="120"/>
        <v>0</v>
      </c>
      <c r="W214" s="76">
        <v>0.09</v>
      </c>
      <c r="X214" s="79">
        <f t="shared" si="121"/>
        <v>0</v>
      </c>
      <c r="Y214" s="75">
        <v>0.0</v>
      </c>
      <c r="Z214" s="76">
        <v>0.09</v>
      </c>
      <c r="AA214" s="79">
        <f t="shared" si="122"/>
        <v>0</v>
      </c>
    </row>
    <row r="215" ht="15.75" customHeight="1">
      <c r="A215" s="200"/>
      <c r="B215" s="126" t="s">
        <v>211</v>
      </c>
      <c r="C215" s="157"/>
      <c r="D215" s="158"/>
      <c r="E215" s="124"/>
      <c r="F215" s="124"/>
      <c r="G215" s="124"/>
      <c r="H215" s="124"/>
      <c r="I215" s="124"/>
      <c r="J215" s="124"/>
      <c r="K215" s="124"/>
      <c r="L215" s="124"/>
      <c r="M215" s="125"/>
      <c r="N215" s="173"/>
      <c r="O215" s="60"/>
      <c r="P215" s="123"/>
      <c r="Q215" s="124"/>
      <c r="R215" s="124"/>
      <c r="S215" s="124"/>
      <c r="T215" s="124"/>
      <c r="U215" s="124"/>
      <c r="V215" s="124"/>
      <c r="W215" s="124"/>
      <c r="X215" s="125"/>
      <c r="Y215" s="125"/>
      <c r="Z215" s="124"/>
      <c r="AA215" s="124"/>
    </row>
    <row r="216" ht="15.75" customHeight="1">
      <c r="A216" s="200"/>
      <c r="B216" s="151" t="s">
        <v>212</v>
      </c>
      <c r="C216" s="152"/>
      <c r="D216" s="153"/>
      <c r="E216" s="116">
        <v>1.0</v>
      </c>
      <c r="F216" s="116" t="s">
        <v>45</v>
      </c>
      <c r="G216" s="117">
        <v>1.0</v>
      </c>
      <c r="H216" s="117"/>
      <c r="I216" s="117"/>
      <c r="J216" s="117"/>
      <c r="K216" s="75">
        <f t="shared" ref="K216:K221" si="123">(E216*G216*H216)+(I216*J216*E216*G216)</f>
        <v>0</v>
      </c>
      <c r="L216" s="76">
        <v>0.09</v>
      </c>
      <c r="M216" s="79">
        <f t="shared" ref="M216:M221" si="124">K216/(1-L216)</f>
        <v>0</v>
      </c>
      <c r="N216" s="84"/>
      <c r="O216" s="60"/>
      <c r="P216" s="116">
        <v>1.0</v>
      </c>
      <c r="Q216" s="116" t="s">
        <v>45</v>
      </c>
      <c r="R216" s="117">
        <v>1.0</v>
      </c>
      <c r="S216" s="117"/>
      <c r="T216" s="117"/>
      <c r="U216" s="117"/>
      <c r="V216" s="75">
        <f t="shared" ref="V216:V221" si="125">(P216*R216*S216)+(T216*U216*P216*R216)</f>
        <v>0</v>
      </c>
      <c r="W216" s="76">
        <v>0.09</v>
      </c>
      <c r="X216" s="79">
        <f t="shared" ref="X216:X221" si="126">V216/(1-W216)</f>
        <v>0</v>
      </c>
      <c r="Y216" s="75">
        <v>0.0</v>
      </c>
      <c r="Z216" s="76">
        <v>0.09</v>
      </c>
      <c r="AA216" s="79">
        <f t="shared" ref="AA216:AA221" si="127">Y216/(1-Z216)</f>
        <v>0</v>
      </c>
    </row>
    <row r="217" ht="15.75" customHeight="1">
      <c r="A217" s="200"/>
      <c r="B217" s="151" t="s">
        <v>213</v>
      </c>
      <c r="C217" s="152"/>
      <c r="D217" s="153"/>
      <c r="E217" s="116">
        <v>1.0</v>
      </c>
      <c r="F217" s="116" t="s">
        <v>45</v>
      </c>
      <c r="G217" s="117">
        <v>1.0</v>
      </c>
      <c r="H217" s="117"/>
      <c r="I217" s="117"/>
      <c r="J217" s="117"/>
      <c r="K217" s="75">
        <f t="shared" si="123"/>
        <v>0</v>
      </c>
      <c r="L217" s="76">
        <v>0.09</v>
      </c>
      <c r="M217" s="79">
        <f t="shared" si="124"/>
        <v>0</v>
      </c>
      <c r="N217" s="84"/>
      <c r="O217" s="60"/>
      <c r="P217" s="116">
        <v>1.0</v>
      </c>
      <c r="Q217" s="116" t="s">
        <v>45</v>
      </c>
      <c r="R217" s="117">
        <v>1.0</v>
      </c>
      <c r="S217" s="117"/>
      <c r="T217" s="117"/>
      <c r="U217" s="117"/>
      <c r="V217" s="75">
        <f t="shared" si="125"/>
        <v>0</v>
      </c>
      <c r="W217" s="76">
        <v>0.09</v>
      </c>
      <c r="X217" s="79">
        <f t="shared" si="126"/>
        <v>0</v>
      </c>
      <c r="Y217" s="75">
        <v>0.0</v>
      </c>
      <c r="Z217" s="76">
        <v>0.09</v>
      </c>
      <c r="AA217" s="79">
        <f t="shared" si="127"/>
        <v>0</v>
      </c>
    </row>
    <row r="218" ht="15.75" customHeight="1">
      <c r="A218" s="200"/>
      <c r="B218" s="151" t="s">
        <v>214</v>
      </c>
      <c r="C218" s="152"/>
      <c r="D218" s="153"/>
      <c r="E218" s="116">
        <v>1.0</v>
      </c>
      <c r="F218" s="116" t="s">
        <v>45</v>
      </c>
      <c r="G218" s="117">
        <v>1.0</v>
      </c>
      <c r="H218" s="117"/>
      <c r="I218" s="117"/>
      <c r="J218" s="117"/>
      <c r="K218" s="75">
        <f t="shared" si="123"/>
        <v>0</v>
      </c>
      <c r="L218" s="76">
        <v>0.09</v>
      </c>
      <c r="M218" s="79">
        <f t="shared" si="124"/>
        <v>0</v>
      </c>
      <c r="N218" s="84"/>
      <c r="O218" s="60"/>
      <c r="P218" s="116">
        <v>1.0</v>
      </c>
      <c r="Q218" s="116" t="s">
        <v>45</v>
      </c>
      <c r="R218" s="117">
        <v>1.0</v>
      </c>
      <c r="S218" s="117"/>
      <c r="T218" s="117"/>
      <c r="U218" s="117"/>
      <c r="V218" s="75">
        <f t="shared" si="125"/>
        <v>0</v>
      </c>
      <c r="W218" s="76">
        <v>0.09</v>
      </c>
      <c r="X218" s="79">
        <f t="shared" si="126"/>
        <v>0</v>
      </c>
      <c r="Y218" s="75">
        <v>0.0</v>
      </c>
      <c r="Z218" s="76">
        <v>0.09</v>
      </c>
      <c r="AA218" s="79">
        <f t="shared" si="127"/>
        <v>0</v>
      </c>
    </row>
    <row r="219" ht="15.75" customHeight="1">
      <c r="A219" s="200"/>
      <c r="B219" s="165" t="s">
        <v>78</v>
      </c>
      <c r="C219" s="6"/>
      <c r="D219" s="166"/>
      <c r="E219" s="154">
        <v>1.0</v>
      </c>
      <c r="F219" s="116" t="s">
        <v>45</v>
      </c>
      <c r="G219" s="75">
        <v>1.0</v>
      </c>
      <c r="H219" s="75"/>
      <c r="I219" s="75"/>
      <c r="J219" s="75"/>
      <c r="K219" s="75">
        <f t="shared" si="123"/>
        <v>0</v>
      </c>
      <c r="L219" s="76">
        <v>0.09</v>
      </c>
      <c r="M219" s="79">
        <f t="shared" si="124"/>
        <v>0</v>
      </c>
      <c r="N219" s="84"/>
      <c r="O219" s="60"/>
      <c r="P219" s="154">
        <v>1.0</v>
      </c>
      <c r="Q219" s="116" t="s">
        <v>45</v>
      </c>
      <c r="R219" s="75">
        <v>1.0</v>
      </c>
      <c r="S219" s="75"/>
      <c r="T219" s="75"/>
      <c r="U219" s="75"/>
      <c r="V219" s="75">
        <f t="shared" si="125"/>
        <v>0</v>
      </c>
      <c r="W219" s="76">
        <v>0.09</v>
      </c>
      <c r="X219" s="79">
        <f t="shared" si="126"/>
        <v>0</v>
      </c>
      <c r="Y219" s="75">
        <v>0.0</v>
      </c>
      <c r="Z219" s="76">
        <v>0.09</v>
      </c>
      <c r="AA219" s="79">
        <f t="shared" si="127"/>
        <v>0</v>
      </c>
    </row>
    <row r="220" ht="15.75" customHeight="1">
      <c r="A220" s="200"/>
      <c r="B220" s="151" t="s">
        <v>97</v>
      </c>
      <c r="C220" s="152"/>
      <c r="D220" s="153"/>
      <c r="E220" s="116">
        <v>1.0</v>
      </c>
      <c r="F220" s="116" t="s">
        <v>45</v>
      </c>
      <c r="G220" s="117">
        <v>1.0</v>
      </c>
      <c r="H220" s="117"/>
      <c r="I220" s="117"/>
      <c r="J220" s="117"/>
      <c r="K220" s="75">
        <f t="shared" si="123"/>
        <v>0</v>
      </c>
      <c r="L220" s="76">
        <v>0.09</v>
      </c>
      <c r="M220" s="79">
        <f t="shared" si="124"/>
        <v>0</v>
      </c>
      <c r="N220" s="84"/>
      <c r="O220" s="60"/>
      <c r="P220" s="116">
        <v>1.0</v>
      </c>
      <c r="Q220" s="116" t="s">
        <v>45</v>
      </c>
      <c r="R220" s="117">
        <v>1.0</v>
      </c>
      <c r="S220" s="117"/>
      <c r="T220" s="117"/>
      <c r="U220" s="117"/>
      <c r="V220" s="75">
        <f t="shared" si="125"/>
        <v>0</v>
      </c>
      <c r="W220" s="76">
        <v>0.09</v>
      </c>
      <c r="X220" s="79">
        <f t="shared" si="126"/>
        <v>0</v>
      </c>
      <c r="Y220" s="75">
        <v>0.0</v>
      </c>
      <c r="Z220" s="76">
        <v>0.09</v>
      </c>
      <c r="AA220" s="79">
        <f t="shared" si="127"/>
        <v>0</v>
      </c>
    </row>
    <row r="221" ht="15.75" customHeight="1">
      <c r="A221" s="200"/>
      <c r="B221" s="115" t="s">
        <v>104</v>
      </c>
      <c r="C221" s="42"/>
      <c r="D221" s="43"/>
      <c r="E221" s="116">
        <v>1.0</v>
      </c>
      <c r="F221" s="116" t="s">
        <v>45</v>
      </c>
      <c r="G221" s="117">
        <v>1.0</v>
      </c>
      <c r="H221" s="117"/>
      <c r="I221" s="117"/>
      <c r="J221" s="117"/>
      <c r="K221" s="75">
        <f t="shared" si="123"/>
        <v>0</v>
      </c>
      <c r="L221" s="76">
        <v>0.09</v>
      </c>
      <c r="M221" s="79">
        <f t="shared" si="124"/>
        <v>0</v>
      </c>
      <c r="N221" s="84"/>
      <c r="O221" s="60"/>
      <c r="P221" s="116">
        <v>1.0</v>
      </c>
      <c r="Q221" s="116" t="s">
        <v>45</v>
      </c>
      <c r="R221" s="117">
        <v>1.0</v>
      </c>
      <c r="S221" s="117"/>
      <c r="T221" s="117"/>
      <c r="U221" s="117"/>
      <c r="V221" s="75">
        <f t="shared" si="125"/>
        <v>0</v>
      </c>
      <c r="W221" s="76">
        <v>0.09</v>
      </c>
      <c r="X221" s="79">
        <f t="shared" si="126"/>
        <v>0</v>
      </c>
      <c r="Y221" s="75">
        <v>0.0</v>
      </c>
      <c r="Z221" s="76">
        <v>0.09</v>
      </c>
      <c r="AA221" s="79">
        <f t="shared" si="127"/>
        <v>0</v>
      </c>
    </row>
    <row r="222" ht="15.75" customHeight="1">
      <c r="A222" s="200"/>
      <c r="B222" s="170" t="s">
        <v>215</v>
      </c>
      <c r="C222" s="171"/>
      <c r="D222" s="172"/>
      <c r="E222" s="122"/>
      <c r="F222" s="123"/>
      <c r="G222" s="124"/>
      <c r="H222" s="124"/>
      <c r="I222" s="124"/>
      <c r="J222" s="124"/>
      <c r="K222" s="124"/>
      <c r="L222" s="124"/>
      <c r="M222" s="125"/>
      <c r="N222" s="173"/>
      <c r="O222" s="60"/>
      <c r="P222" s="123"/>
      <c r="Q222" s="123"/>
      <c r="R222" s="124"/>
      <c r="S222" s="124"/>
      <c r="T222" s="124"/>
      <c r="U222" s="124"/>
      <c r="V222" s="124"/>
      <c r="W222" s="124"/>
      <c r="X222" s="125"/>
      <c r="Y222" s="125"/>
      <c r="Z222" s="124"/>
      <c r="AA222" s="124"/>
    </row>
    <row r="223" ht="15.75" customHeight="1">
      <c r="A223" s="199"/>
      <c r="B223" s="151" t="s">
        <v>216</v>
      </c>
      <c r="C223" s="152"/>
      <c r="D223" s="153"/>
      <c r="E223" s="116">
        <v>1.0</v>
      </c>
      <c r="F223" s="116" t="s">
        <v>145</v>
      </c>
      <c r="G223" s="117">
        <v>1.0</v>
      </c>
      <c r="H223" s="117"/>
      <c r="I223" s="117"/>
      <c r="J223" s="117"/>
      <c r="K223" s="75">
        <f t="shared" ref="K223:K232" si="128">(E223*G223*H223)+(I223*J223*E223*G223)</f>
        <v>0</v>
      </c>
      <c r="L223" s="76">
        <v>0.09</v>
      </c>
      <c r="M223" s="79">
        <f t="shared" ref="M223:M232" si="129">K223/(1-L223)</f>
        <v>0</v>
      </c>
      <c r="N223" s="84"/>
      <c r="O223" s="60"/>
      <c r="P223" s="116">
        <v>1.0</v>
      </c>
      <c r="Q223" s="116" t="s">
        <v>145</v>
      </c>
      <c r="R223" s="117">
        <v>1.0</v>
      </c>
      <c r="S223" s="117"/>
      <c r="T223" s="117"/>
      <c r="U223" s="117"/>
      <c r="V223" s="75">
        <f t="shared" ref="V223:V232" si="130">(P223*R223*S223)+(T223*U223*P223*R223)</f>
        <v>0</v>
      </c>
      <c r="W223" s="76">
        <v>0.09</v>
      </c>
      <c r="X223" s="79">
        <f t="shared" ref="X223:X232" si="131">V223/(1-W223)</f>
        <v>0</v>
      </c>
      <c r="Y223" s="75">
        <v>0.0</v>
      </c>
      <c r="Z223" s="76">
        <v>0.09</v>
      </c>
      <c r="AA223" s="79">
        <f t="shared" ref="AA223:AA232" si="132">Y223/(1-Z223)</f>
        <v>0</v>
      </c>
    </row>
    <row r="224" ht="15.75" customHeight="1">
      <c r="A224" s="85"/>
      <c r="B224" s="115" t="s">
        <v>217</v>
      </c>
      <c r="C224" s="42"/>
      <c r="D224" s="43"/>
      <c r="E224" s="154">
        <v>1.0</v>
      </c>
      <c r="F224" s="116" t="s">
        <v>145</v>
      </c>
      <c r="G224" s="75">
        <v>1.0</v>
      </c>
      <c r="H224" s="75"/>
      <c r="I224" s="75"/>
      <c r="J224" s="75"/>
      <c r="K224" s="75">
        <f t="shared" si="128"/>
        <v>0</v>
      </c>
      <c r="L224" s="76">
        <v>0.09</v>
      </c>
      <c r="M224" s="79">
        <f t="shared" si="129"/>
        <v>0</v>
      </c>
      <c r="N224" s="84"/>
      <c r="O224" s="60"/>
      <c r="P224" s="154">
        <v>1.0</v>
      </c>
      <c r="Q224" s="116" t="s">
        <v>145</v>
      </c>
      <c r="R224" s="75">
        <v>1.0</v>
      </c>
      <c r="S224" s="75"/>
      <c r="T224" s="75"/>
      <c r="U224" s="75"/>
      <c r="V224" s="75">
        <f t="shared" si="130"/>
        <v>0</v>
      </c>
      <c r="W224" s="76">
        <v>0.09</v>
      </c>
      <c r="X224" s="79">
        <f t="shared" si="131"/>
        <v>0</v>
      </c>
      <c r="Y224" s="75">
        <v>0.0</v>
      </c>
      <c r="Z224" s="76">
        <v>0.09</v>
      </c>
      <c r="AA224" s="79">
        <f t="shared" si="132"/>
        <v>0</v>
      </c>
    </row>
    <row r="225" ht="15.75" customHeight="1">
      <c r="A225" s="85"/>
      <c r="B225" s="115" t="s">
        <v>218</v>
      </c>
      <c r="C225" s="42"/>
      <c r="D225" s="43"/>
      <c r="E225" s="154">
        <v>1.0</v>
      </c>
      <c r="F225" s="154" t="s">
        <v>145</v>
      </c>
      <c r="G225" s="75">
        <v>1.0</v>
      </c>
      <c r="H225" s="75"/>
      <c r="I225" s="75"/>
      <c r="J225" s="75"/>
      <c r="K225" s="75">
        <f t="shared" si="128"/>
        <v>0</v>
      </c>
      <c r="L225" s="76">
        <v>0.09</v>
      </c>
      <c r="M225" s="79">
        <f t="shared" si="129"/>
        <v>0</v>
      </c>
      <c r="N225" s="84"/>
      <c r="O225" s="60"/>
      <c r="P225" s="154">
        <v>1.0</v>
      </c>
      <c r="Q225" s="154" t="s">
        <v>145</v>
      </c>
      <c r="R225" s="75">
        <v>1.0</v>
      </c>
      <c r="S225" s="75"/>
      <c r="T225" s="75"/>
      <c r="U225" s="75"/>
      <c r="V225" s="75">
        <f t="shared" si="130"/>
        <v>0</v>
      </c>
      <c r="W225" s="76">
        <v>0.09</v>
      </c>
      <c r="X225" s="79">
        <f t="shared" si="131"/>
        <v>0</v>
      </c>
      <c r="Y225" s="75">
        <v>0.0</v>
      </c>
      <c r="Z225" s="76">
        <v>0.09</v>
      </c>
      <c r="AA225" s="79">
        <f t="shared" si="132"/>
        <v>0</v>
      </c>
    </row>
    <row r="226" ht="15.75" customHeight="1">
      <c r="A226" s="85"/>
      <c r="B226" s="115" t="s">
        <v>219</v>
      </c>
      <c r="C226" s="42"/>
      <c r="D226" s="43"/>
      <c r="E226" s="154">
        <v>1.0</v>
      </c>
      <c r="F226" s="154" t="s">
        <v>145</v>
      </c>
      <c r="G226" s="75">
        <v>1.0</v>
      </c>
      <c r="H226" s="75"/>
      <c r="I226" s="75"/>
      <c r="J226" s="75"/>
      <c r="K226" s="75">
        <f t="shared" si="128"/>
        <v>0</v>
      </c>
      <c r="L226" s="76">
        <v>0.09</v>
      </c>
      <c r="M226" s="79">
        <f t="shared" si="129"/>
        <v>0</v>
      </c>
      <c r="N226" s="84"/>
      <c r="O226" s="60"/>
      <c r="P226" s="154">
        <v>1.0</v>
      </c>
      <c r="Q226" s="154" t="s">
        <v>145</v>
      </c>
      <c r="R226" s="75">
        <v>1.0</v>
      </c>
      <c r="S226" s="75"/>
      <c r="T226" s="75"/>
      <c r="U226" s="75"/>
      <c r="V226" s="75">
        <f t="shared" si="130"/>
        <v>0</v>
      </c>
      <c r="W226" s="76">
        <v>0.09</v>
      </c>
      <c r="X226" s="79">
        <f t="shared" si="131"/>
        <v>0</v>
      </c>
      <c r="Y226" s="75">
        <v>0.0</v>
      </c>
      <c r="Z226" s="76">
        <v>0.09</v>
      </c>
      <c r="AA226" s="79">
        <f t="shared" si="132"/>
        <v>0</v>
      </c>
    </row>
    <row r="227" ht="15.75" customHeight="1">
      <c r="A227" s="85"/>
      <c r="B227" s="115" t="s">
        <v>220</v>
      </c>
      <c r="C227" s="42"/>
      <c r="D227" s="43"/>
      <c r="E227" s="154">
        <v>1.0</v>
      </c>
      <c r="F227" s="116" t="s">
        <v>145</v>
      </c>
      <c r="G227" s="75">
        <v>1.0</v>
      </c>
      <c r="H227" s="75"/>
      <c r="I227" s="75"/>
      <c r="J227" s="75"/>
      <c r="K227" s="75">
        <f t="shared" si="128"/>
        <v>0</v>
      </c>
      <c r="L227" s="76">
        <v>0.09</v>
      </c>
      <c r="M227" s="79">
        <f t="shared" si="129"/>
        <v>0</v>
      </c>
      <c r="N227" s="84"/>
      <c r="O227" s="60"/>
      <c r="P227" s="154">
        <v>1.0</v>
      </c>
      <c r="Q227" s="116" t="s">
        <v>145</v>
      </c>
      <c r="R227" s="75">
        <v>1.0</v>
      </c>
      <c r="S227" s="75"/>
      <c r="T227" s="75"/>
      <c r="U227" s="75"/>
      <c r="V227" s="75">
        <f t="shared" si="130"/>
        <v>0</v>
      </c>
      <c r="W227" s="76">
        <v>0.09</v>
      </c>
      <c r="X227" s="79">
        <f t="shared" si="131"/>
        <v>0</v>
      </c>
      <c r="Y227" s="75">
        <v>0.0</v>
      </c>
      <c r="Z227" s="76">
        <v>0.09</v>
      </c>
      <c r="AA227" s="79">
        <f t="shared" si="132"/>
        <v>0</v>
      </c>
    </row>
    <row r="228" ht="15.75" customHeight="1">
      <c r="A228" s="85"/>
      <c r="B228" s="115" t="s">
        <v>221</v>
      </c>
      <c r="C228" s="42"/>
      <c r="D228" s="43"/>
      <c r="E228" s="154">
        <v>1.0</v>
      </c>
      <c r="F228" s="116" t="s">
        <v>145</v>
      </c>
      <c r="G228" s="75">
        <v>1.0</v>
      </c>
      <c r="H228" s="75"/>
      <c r="I228" s="75"/>
      <c r="J228" s="75"/>
      <c r="K228" s="75">
        <f t="shared" si="128"/>
        <v>0</v>
      </c>
      <c r="L228" s="76">
        <v>0.09</v>
      </c>
      <c r="M228" s="79">
        <f t="shared" si="129"/>
        <v>0</v>
      </c>
      <c r="N228" s="84"/>
      <c r="O228" s="60"/>
      <c r="P228" s="154">
        <v>1.0</v>
      </c>
      <c r="Q228" s="116" t="s">
        <v>145</v>
      </c>
      <c r="R228" s="75">
        <v>1.0</v>
      </c>
      <c r="S228" s="75"/>
      <c r="T228" s="75"/>
      <c r="U228" s="75"/>
      <c r="V228" s="75">
        <f t="shared" si="130"/>
        <v>0</v>
      </c>
      <c r="W228" s="76">
        <v>0.09</v>
      </c>
      <c r="X228" s="79">
        <f t="shared" si="131"/>
        <v>0</v>
      </c>
      <c r="Y228" s="75">
        <v>0.0</v>
      </c>
      <c r="Z228" s="76">
        <v>0.09</v>
      </c>
      <c r="AA228" s="79">
        <f t="shared" si="132"/>
        <v>0</v>
      </c>
    </row>
    <row r="229" ht="15.75" customHeight="1">
      <c r="A229" s="85"/>
      <c r="B229" s="115" t="s">
        <v>222</v>
      </c>
      <c r="C229" s="42"/>
      <c r="D229" s="43"/>
      <c r="E229" s="154">
        <v>1.0</v>
      </c>
      <c r="F229" s="116" t="s">
        <v>145</v>
      </c>
      <c r="G229" s="75">
        <v>1.0</v>
      </c>
      <c r="H229" s="75"/>
      <c r="I229" s="75"/>
      <c r="J229" s="75"/>
      <c r="K229" s="75">
        <f t="shared" si="128"/>
        <v>0</v>
      </c>
      <c r="L229" s="76">
        <v>0.09</v>
      </c>
      <c r="M229" s="79">
        <f t="shared" si="129"/>
        <v>0</v>
      </c>
      <c r="N229" s="84"/>
      <c r="O229" s="60"/>
      <c r="P229" s="154">
        <v>1.0</v>
      </c>
      <c r="Q229" s="116" t="s">
        <v>145</v>
      </c>
      <c r="R229" s="75">
        <v>1.0</v>
      </c>
      <c r="S229" s="75"/>
      <c r="T229" s="75"/>
      <c r="U229" s="75"/>
      <c r="V229" s="75">
        <f t="shared" si="130"/>
        <v>0</v>
      </c>
      <c r="W229" s="76">
        <v>0.09</v>
      </c>
      <c r="X229" s="79">
        <f t="shared" si="131"/>
        <v>0</v>
      </c>
      <c r="Y229" s="75">
        <v>0.0</v>
      </c>
      <c r="Z229" s="76">
        <v>0.09</v>
      </c>
      <c r="AA229" s="79">
        <f t="shared" si="132"/>
        <v>0</v>
      </c>
    </row>
    <row r="230" ht="15.75" customHeight="1">
      <c r="A230" s="85"/>
      <c r="B230" s="115" t="s">
        <v>223</v>
      </c>
      <c r="C230" s="42"/>
      <c r="D230" s="43"/>
      <c r="E230" s="154">
        <v>1.0</v>
      </c>
      <c r="F230" s="116" t="s">
        <v>173</v>
      </c>
      <c r="G230" s="75">
        <v>1.0</v>
      </c>
      <c r="H230" s="75"/>
      <c r="I230" s="75"/>
      <c r="J230" s="75"/>
      <c r="K230" s="75">
        <f t="shared" si="128"/>
        <v>0</v>
      </c>
      <c r="L230" s="76">
        <v>0.09</v>
      </c>
      <c r="M230" s="79">
        <f t="shared" si="129"/>
        <v>0</v>
      </c>
      <c r="N230" s="84"/>
      <c r="O230" s="60"/>
      <c r="P230" s="154">
        <v>1.0</v>
      </c>
      <c r="Q230" s="116" t="s">
        <v>173</v>
      </c>
      <c r="R230" s="75">
        <v>1.0</v>
      </c>
      <c r="S230" s="75"/>
      <c r="T230" s="75"/>
      <c r="U230" s="75"/>
      <c r="V230" s="75">
        <f t="shared" si="130"/>
        <v>0</v>
      </c>
      <c r="W230" s="76">
        <v>0.09</v>
      </c>
      <c r="X230" s="79">
        <f t="shared" si="131"/>
        <v>0</v>
      </c>
      <c r="Y230" s="75">
        <v>0.0</v>
      </c>
      <c r="Z230" s="76">
        <v>0.09</v>
      </c>
      <c r="AA230" s="79">
        <f t="shared" si="132"/>
        <v>0</v>
      </c>
    </row>
    <row r="231" ht="15.75" customHeight="1">
      <c r="A231" s="85"/>
      <c r="B231" s="69" t="s">
        <v>224</v>
      </c>
      <c r="C231" s="70"/>
      <c r="D231" s="71"/>
      <c r="E231" s="174">
        <v>1.0</v>
      </c>
      <c r="F231" s="116" t="s">
        <v>173</v>
      </c>
      <c r="G231" s="175">
        <v>1.0</v>
      </c>
      <c r="H231" s="175"/>
      <c r="I231" s="175"/>
      <c r="J231" s="175"/>
      <c r="K231" s="75">
        <f t="shared" si="128"/>
        <v>0</v>
      </c>
      <c r="L231" s="76">
        <v>0.09</v>
      </c>
      <c r="M231" s="79">
        <f t="shared" si="129"/>
        <v>0</v>
      </c>
      <c r="N231" s="84"/>
      <c r="O231" s="60"/>
      <c r="P231" s="174">
        <v>1.0</v>
      </c>
      <c r="Q231" s="116" t="s">
        <v>173</v>
      </c>
      <c r="R231" s="175">
        <v>1.0</v>
      </c>
      <c r="S231" s="175"/>
      <c r="T231" s="175"/>
      <c r="U231" s="175"/>
      <c r="V231" s="75">
        <f t="shared" si="130"/>
        <v>0</v>
      </c>
      <c r="W231" s="76">
        <v>0.09</v>
      </c>
      <c r="X231" s="79">
        <f t="shared" si="131"/>
        <v>0</v>
      </c>
      <c r="Y231" s="75">
        <v>0.0</v>
      </c>
      <c r="Z231" s="76">
        <v>0.09</v>
      </c>
      <c r="AA231" s="79">
        <f t="shared" si="132"/>
        <v>0</v>
      </c>
    </row>
    <row r="232" ht="15.75" customHeight="1">
      <c r="A232" s="202"/>
      <c r="B232" s="115" t="s">
        <v>225</v>
      </c>
      <c r="C232" s="42"/>
      <c r="D232" s="43"/>
      <c r="E232" s="154">
        <v>1.0</v>
      </c>
      <c r="F232" s="116" t="s">
        <v>173</v>
      </c>
      <c r="G232" s="154">
        <v>1.0</v>
      </c>
      <c r="H232" s="154"/>
      <c r="I232" s="154"/>
      <c r="J232" s="154"/>
      <c r="K232" s="75">
        <f t="shared" si="128"/>
        <v>0</v>
      </c>
      <c r="L232" s="76">
        <v>0.09</v>
      </c>
      <c r="M232" s="79">
        <f t="shared" si="129"/>
        <v>0</v>
      </c>
      <c r="N232" s="84"/>
      <c r="O232" s="60"/>
      <c r="P232" s="154">
        <v>1.0</v>
      </c>
      <c r="Q232" s="116" t="s">
        <v>173</v>
      </c>
      <c r="R232" s="154">
        <v>1.0</v>
      </c>
      <c r="S232" s="154"/>
      <c r="T232" s="154"/>
      <c r="U232" s="154"/>
      <c r="V232" s="75">
        <f t="shared" si="130"/>
        <v>0</v>
      </c>
      <c r="W232" s="76">
        <v>0.09</v>
      </c>
      <c r="X232" s="79">
        <f t="shared" si="131"/>
        <v>0</v>
      </c>
      <c r="Y232" s="75">
        <v>0.0</v>
      </c>
      <c r="Z232" s="76">
        <v>0.09</v>
      </c>
      <c r="AA232" s="79">
        <f t="shared" si="132"/>
        <v>0</v>
      </c>
    </row>
    <row r="233" ht="15.75" customHeight="1">
      <c r="A233" s="85"/>
      <c r="B233" s="85"/>
      <c r="C233" s="85"/>
      <c r="D233" s="85"/>
      <c r="E233" s="88"/>
      <c r="F233" s="95"/>
      <c r="G233" s="90"/>
      <c r="H233" s="90"/>
      <c r="I233" s="91"/>
      <c r="J233" s="91"/>
      <c r="K233" s="91"/>
      <c r="L233" s="92" t="s">
        <v>226</v>
      </c>
      <c r="M233" s="93">
        <f>SUM(M213:M232)</f>
        <v>0</v>
      </c>
      <c r="N233" s="94"/>
      <c r="O233" s="60"/>
      <c r="P233" s="95"/>
      <c r="Q233" s="95"/>
      <c r="R233" s="90"/>
      <c r="S233" s="90"/>
      <c r="T233" s="91"/>
      <c r="U233" s="91"/>
      <c r="V233" s="91"/>
      <c r="W233" s="92" t="s">
        <v>226</v>
      </c>
      <c r="X233" s="93">
        <f>SUM(X213:X232)</f>
        <v>0</v>
      </c>
      <c r="Y233" s="91"/>
      <c r="Z233" s="92" t="s">
        <v>226</v>
      </c>
      <c r="AA233" s="93">
        <f>SUM(AA216:AA232)</f>
        <v>0</v>
      </c>
    </row>
    <row r="234" ht="9.75" customHeight="1">
      <c r="A234" s="96"/>
      <c r="B234" s="96"/>
      <c r="C234" s="96"/>
      <c r="D234" s="96"/>
      <c r="E234" s="176"/>
      <c r="F234" s="137"/>
      <c r="G234" s="96"/>
      <c r="H234" s="96"/>
      <c r="I234" s="96"/>
      <c r="J234" s="96"/>
      <c r="K234" s="96"/>
      <c r="L234" s="96"/>
      <c r="M234" s="138"/>
      <c r="N234" s="177"/>
      <c r="O234" s="60"/>
      <c r="P234" s="137"/>
      <c r="Q234" s="137"/>
      <c r="R234" s="96"/>
      <c r="S234" s="96"/>
      <c r="T234" s="96"/>
      <c r="U234" s="96"/>
      <c r="V234" s="96"/>
      <c r="W234" s="96"/>
      <c r="X234" s="138"/>
      <c r="Y234" s="139"/>
      <c r="Z234" s="96"/>
      <c r="AA234" s="139"/>
    </row>
    <row r="235" ht="15.75" customHeight="1">
      <c r="A235" s="61" t="s">
        <v>227</v>
      </c>
      <c r="B235" s="62"/>
      <c r="C235" s="62"/>
      <c r="D235" s="63"/>
      <c r="E235" s="195"/>
      <c r="F235" s="141"/>
      <c r="G235" s="142"/>
      <c r="H235" s="142"/>
      <c r="I235" s="142"/>
      <c r="J235" s="142"/>
      <c r="K235" s="142"/>
      <c r="L235" s="142"/>
      <c r="M235" s="143"/>
      <c r="N235" s="196"/>
      <c r="O235" s="60"/>
      <c r="P235" s="141"/>
      <c r="Q235" s="141"/>
      <c r="R235" s="142"/>
      <c r="S235" s="142"/>
      <c r="T235" s="142"/>
      <c r="U235" s="142"/>
      <c r="V235" s="142"/>
      <c r="W235" s="142"/>
      <c r="X235" s="143"/>
      <c r="Y235" s="142"/>
      <c r="Z235" s="142"/>
      <c r="AA235" s="143"/>
    </row>
    <row r="236" ht="15.75" customHeight="1">
      <c r="A236" s="199"/>
      <c r="B236" s="188" t="s">
        <v>228</v>
      </c>
      <c r="C236" s="189"/>
      <c r="D236" s="190"/>
      <c r="E236" s="191">
        <v>1.0</v>
      </c>
      <c r="F236" s="116" t="s">
        <v>173</v>
      </c>
      <c r="G236" s="192">
        <v>1.0</v>
      </c>
      <c r="H236" s="192"/>
      <c r="I236" s="192"/>
      <c r="J236" s="192"/>
      <c r="K236" s="75">
        <f t="shared" ref="K236:K237" si="133">(E236*G236*H236)+(I236*J236*E236*G236)</f>
        <v>0</v>
      </c>
      <c r="L236" s="76">
        <v>0.09</v>
      </c>
      <c r="M236" s="79">
        <f t="shared" ref="M236:M237" si="134">K236/(1-L236)</f>
        <v>0</v>
      </c>
      <c r="N236" s="84"/>
      <c r="O236" s="60"/>
      <c r="P236" s="191">
        <v>1.0</v>
      </c>
      <c r="Q236" s="116" t="s">
        <v>173</v>
      </c>
      <c r="R236" s="192">
        <v>1.0</v>
      </c>
      <c r="S236" s="192"/>
      <c r="T236" s="192"/>
      <c r="U236" s="192"/>
      <c r="V236" s="75">
        <f t="shared" ref="V236:V237" si="135">(P236*R236*S236)+(T236*U236*P236*R236)</f>
        <v>0</v>
      </c>
      <c r="W236" s="76">
        <v>0.09</v>
      </c>
      <c r="X236" s="79">
        <f t="shared" ref="X236:X237" si="136">V236/(1-W236)</f>
        <v>0</v>
      </c>
      <c r="Y236" s="75">
        <v>0.0</v>
      </c>
      <c r="Z236" s="76">
        <v>0.09</v>
      </c>
      <c r="AA236" s="79">
        <f t="shared" ref="AA236:AA237" si="137">Y236/(1-Z236)</f>
        <v>0</v>
      </c>
    </row>
    <row r="237" ht="15.75" customHeight="1">
      <c r="A237" s="114"/>
      <c r="B237" s="188" t="s">
        <v>229</v>
      </c>
      <c r="C237" s="189"/>
      <c r="D237" s="190"/>
      <c r="E237" s="191">
        <v>1.0</v>
      </c>
      <c r="F237" s="116" t="s">
        <v>173</v>
      </c>
      <c r="G237" s="192">
        <v>1.0</v>
      </c>
      <c r="H237" s="192"/>
      <c r="I237" s="192"/>
      <c r="J237" s="192"/>
      <c r="K237" s="75">
        <f t="shared" si="133"/>
        <v>0</v>
      </c>
      <c r="L237" s="76">
        <v>0.09</v>
      </c>
      <c r="M237" s="79">
        <f t="shared" si="134"/>
        <v>0</v>
      </c>
      <c r="N237" s="84"/>
      <c r="O237" s="60"/>
      <c r="P237" s="191">
        <v>1.0</v>
      </c>
      <c r="Q237" s="116" t="s">
        <v>173</v>
      </c>
      <c r="R237" s="192">
        <v>1.0</v>
      </c>
      <c r="S237" s="192"/>
      <c r="T237" s="192"/>
      <c r="U237" s="192"/>
      <c r="V237" s="75">
        <f t="shared" si="135"/>
        <v>0</v>
      </c>
      <c r="W237" s="76">
        <v>0.09</v>
      </c>
      <c r="X237" s="79">
        <f t="shared" si="136"/>
        <v>0</v>
      </c>
      <c r="Y237" s="75">
        <v>0.0</v>
      </c>
      <c r="Z237" s="76">
        <v>0.09</v>
      </c>
      <c r="AA237" s="79">
        <f t="shared" si="137"/>
        <v>0</v>
      </c>
    </row>
    <row r="238" ht="15.75" customHeight="1">
      <c r="A238" s="118"/>
      <c r="B238" s="126" t="s">
        <v>230</v>
      </c>
      <c r="C238" s="157"/>
      <c r="D238" s="158"/>
      <c r="E238" s="122"/>
      <c r="F238" s="123"/>
      <c r="G238" s="124"/>
      <c r="H238" s="124"/>
      <c r="I238" s="124"/>
      <c r="J238" s="124"/>
      <c r="K238" s="124"/>
      <c r="L238" s="124"/>
      <c r="M238" s="125"/>
      <c r="N238" s="173"/>
      <c r="O238" s="60"/>
      <c r="P238" s="123"/>
      <c r="Q238" s="123"/>
      <c r="R238" s="124"/>
      <c r="S238" s="124"/>
      <c r="T238" s="124"/>
      <c r="U238" s="124"/>
      <c r="V238" s="124"/>
      <c r="W238" s="124"/>
      <c r="X238" s="125"/>
      <c r="Y238" s="124"/>
      <c r="Z238" s="124"/>
      <c r="AA238" s="125"/>
    </row>
    <row r="239" ht="15.75" customHeight="1">
      <c r="A239" s="85"/>
      <c r="B239" s="151" t="s">
        <v>231</v>
      </c>
      <c r="C239" s="152"/>
      <c r="D239" s="153"/>
      <c r="E239" s="116">
        <v>1.0</v>
      </c>
      <c r="F239" s="116" t="s">
        <v>49</v>
      </c>
      <c r="G239" s="117">
        <v>1.0</v>
      </c>
      <c r="H239" s="117"/>
      <c r="I239" s="117"/>
      <c r="J239" s="117"/>
      <c r="K239" s="75">
        <f t="shared" ref="K239:K241" si="138">(E239*G239*H239)+(I239*J239*E239*G239)</f>
        <v>0</v>
      </c>
      <c r="L239" s="76">
        <v>0.09</v>
      </c>
      <c r="M239" s="79">
        <f t="shared" ref="M239:M241" si="139">K239/(1-L239)</f>
        <v>0</v>
      </c>
      <c r="N239" s="84"/>
      <c r="O239" s="60"/>
      <c r="P239" s="116">
        <v>1.0</v>
      </c>
      <c r="Q239" s="116" t="s">
        <v>49</v>
      </c>
      <c r="R239" s="117">
        <v>1.0</v>
      </c>
      <c r="S239" s="117"/>
      <c r="T239" s="117"/>
      <c r="U239" s="117"/>
      <c r="V239" s="75">
        <f t="shared" ref="V239:V241" si="140">(P239*R239*S239)+(T239*U239*P239*R239)</f>
        <v>0</v>
      </c>
      <c r="W239" s="76">
        <v>0.09</v>
      </c>
      <c r="X239" s="79">
        <f t="shared" ref="X239:X241" si="141">V239/(1-W239)</f>
        <v>0</v>
      </c>
      <c r="Y239" s="75">
        <v>0.0</v>
      </c>
      <c r="Z239" s="76">
        <v>0.09</v>
      </c>
      <c r="AA239" s="79">
        <f t="shared" ref="AA239:AA241" si="142">Y239/(1-Z239)</f>
        <v>0</v>
      </c>
    </row>
    <row r="240" ht="15.75" customHeight="1">
      <c r="A240" s="85"/>
      <c r="B240" s="115" t="s">
        <v>232</v>
      </c>
      <c r="C240" s="42"/>
      <c r="D240" s="43"/>
      <c r="E240" s="154">
        <v>1.0</v>
      </c>
      <c r="F240" s="154" t="s">
        <v>49</v>
      </c>
      <c r="G240" s="75">
        <v>1.0</v>
      </c>
      <c r="H240" s="75"/>
      <c r="I240" s="75"/>
      <c r="J240" s="75"/>
      <c r="K240" s="75">
        <f t="shared" si="138"/>
        <v>0</v>
      </c>
      <c r="L240" s="76">
        <v>0.09</v>
      </c>
      <c r="M240" s="79">
        <f t="shared" si="139"/>
        <v>0</v>
      </c>
      <c r="N240" s="84"/>
      <c r="O240" s="60"/>
      <c r="P240" s="154">
        <v>1.0</v>
      </c>
      <c r="Q240" s="154" t="s">
        <v>49</v>
      </c>
      <c r="R240" s="75">
        <v>1.0</v>
      </c>
      <c r="S240" s="75"/>
      <c r="T240" s="75"/>
      <c r="U240" s="75"/>
      <c r="V240" s="75">
        <f t="shared" si="140"/>
        <v>0</v>
      </c>
      <c r="W240" s="76">
        <v>0.09</v>
      </c>
      <c r="X240" s="79">
        <f t="shared" si="141"/>
        <v>0</v>
      </c>
      <c r="Y240" s="75">
        <v>0.0</v>
      </c>
      <c r="Z240" s="76">
        <v>0.09</v>
      </c>
      <c r="AA240" s="79">
        <f t="shared" si="142"/>
        <v>0</v>
      </c>
    </row>
    <row r="241" ht="15.75" customHeight="1">
      <c r="A241" s="85"/>
      <c r="B241" s="69" t="s">
        <v>233</v>
      </c>
      <c r="C241" s="70"/>
      <c r="D241" s="71"/>
      <c r="E241" s="155">
        <v>1.0</v>
      </c>
      <c r="F241" s="155" t="s">
        <v>49</v>
      </c>
      <c r="G241" s="156">
        <v>1.0</v>
      </c>
      <c r="H241" s="156"/>
      <c r="I241" s="156"/>
      <c r="J241" s="156"/>
      <c r="K241" s="75">
        <f t="shared" si="138"/>
        <v>0</v>
      </c>
      <c r="L241" s="76">
        <v>0.09</v>
      </c>
      <c r="M241" s="79">
        <f t="shared" si="139"/>
        <v>0</v>
      </c>
      <c r="N241" s="84"/>
      <c r="O241" s="60"/>
      <c r="P241" s="155">
        <v>1.0</v>
      </c>
      <c r="Q241" s="155" t="s">
        <v>49</v>
      </c>
      <c r="R241" s="156">
        <v>1.0</v>
      </c>
      <c r="S241" s="156"/>
      <c r="T241" s="156"/>
      <c r="U241" s="156"/>
      <c r="V241" s="75">
        <f t="shared" si="140"/>
        <v>0</v>
      </c>
      <c r="W241" s="76">
        <v>0.09</v>
      </c>
      <c r="X241" s="79">
        <f t="shared" si="141"/>
        <v>0</v>
      </c>
      <c r="Y241" s="75">
        <v>0.0</v>
      </c>
      <c r="Z241" s="76">
        <v>0.09</v>
      </c>
      <c r="AA241" s="79">
        <f t="shared" si="142"/>
        <v>0</v>
      </c>
    </row>
    <row r="242" ht="15.75" customHeight="1">
      <c r="A242" s="118"/>
      <c r="B242" s="126" t="s">
        <v>234</v>
      </c>
      <c r="C242" s="157"/>
      <c r="D242" s="158"/>
      <c r="E242" s="122"/>
      <c r="F242" s="123"/>
      <c r="G242" s="124"/>
      <c r="H242" s="124"/>
      <c r="I242" s="124"/>
      <c r="J242" s="124"/>
      <c r="K242" s="124"/>
      <c r="L242" s="124"/>
      <c r="M242" s="125"/>
      <c r="N242" s="173"/>
      <c r="O242" s="60"/>
      <c r="P242" s="123"/>
      <c r="Q242" s="123"/>
      <c r="R242" s="124"/>
      <c r="S242" s="124"/>
      <c r="T242" s="124"/>
      <c r="U242" s="124"/>
      <c r="V242" s="124"/>
      <c r="W242" s="124"/>
      <c r="X242" s="125"/>
      <c r="Y242" s="124"/>
      <c r="Z242" s="124"/>
      <c r="AA242" s="125"/>
    </row>
    <row r="243" ht="15.75" customHeight="1">
      <c r="A243" s="80"/>
      <c r="B243" s="115" t="s">
        <v>235</v>
      </c>
      <c r="C243" s="42"/>
      <c r="D243" s="43"/>
      <c r="E243" s="116">
        <v>1.0</v>
      </c>
      <c r="F243" s="116" t="s">
        <v>145</v>
      </c>
      <c r="G243" s="117">
        <v>1.0</v>
      </c>
      <c r="H243" s="117"/>
      <c r="I243" s="117"/>
      <c r="J243" s="117"/>
      <c r="K243" s="75">
        <f t="shared" ref="K243:K254" si="143">(E243*G243*H243)+(I243*J243*E243*G243)</f>
        <v>0</v>
      </c>
      <c r="L243" s="76">
        <v>0.09</v>
      </c>
      <c r="M243" s="79">
        <f t="shared" ref="M243:M254" si="144">K243/(1-L243)</f>
        <v>0</v>
      </c>
      <c r="N243" s="84"/>
      <c r="O243" s="60"/>
      <c r="P243" s="116">
        <v>1.0</v>
      </c>
      <c r="Q243" s="116" t="s">
        <v>145</v>
      </c>
      <c r="R243" s="117">
        <v>1.0</v>
      </c>
      <c r="S243" s="117"/>
      <c r="T243" s="117"/>
      <c r="U243" s="117"/>
      <c r="V243" s="75">
        <f t="shared" ref="V243:V254" si="145">(P243*R243*S243)+(T243*U243*P243*R243)</f>
        <v>0</v>
      </c>
      <c r="W243" s="76">
        <v>0.09</v>
      </c>
      <c r="X243" s="79">
        <f t="shared" ref="X243:X254" si="146">V243/(1-W243)</f>
        <v>0</v>
      </c>
      <c r="Y243" s="75">
        <v>0.0</v>
      </c>
      <c r="Z243" s="76">
        <v>0.09</v>
      </c>
      <c r="AA243" s="79">
        <f t="shared" ref="AA243:AA254" si="147">Y243/(1-Z243)</f>
        <v>0</v>
      </c>
    </row>
    <row r="244" ht="15.75" customHeight="1">
      <c r="A244" s="85"/>
      <c r="B244" s="115" t="s">
        <v>236</v>
      </c>
      <c r="C244" s="42"/>
      <c r="D244" s="43"/>
      <c r="E244" s="116">
        <v>1.0</v>
      </c>
      <c r="F244" s="116" t="s">
        <v>45</v>
      </c>
      <c r="G244" s="117">
        <v>1.0</v>
      </c>
      <c r="H244" s="117">
        <v>20000.0</v>
      </c>
      <c r="I244" s="117"/>
      <c r="J244" s="117">
        <v>3000.0</v>
      </c>
      <c r="K244" s="75">
        <f t="shared" si="143"/>
        <v>20000</v>
      </c>
      <c r="L244" s="76">
        <v>0.09</v>
      </c>
      <c r="M244" s="79">
        <f t="shared" si="144"/>
        <v>21978.02198</v>
      </c>
      <c r="N244" s="84"/>
      <c r="O244" s="60"/>
      <c r="P244" s="116">
        <v>1.0</v>
      </c>
      <c r="Q244" s="116" t="s">
        <v>45</v>
      </c>
      <c r="R244" s="117">
        <v>1.0</v>
      </c>
      <c r="S244" s="117">
        <v>20000.0</v>
      </c>
      <c r="T244" s="117"/>
      <c r="U244" s="117">
        <v>3000.0</v>
      </c>
      <c r="V244" s="75">
        <f t="shared" si="145"/>
        <v>20000</v>
      </c>
      <c r="W244" s="76">
        <v>0.09</v>
      </c>
      <c r="X244" s="79">
        <f t="shared" si="146"/>
        <v>21978.02198</v>
      </c>
      <c r="Y244" s="75">
        <v>0.0</v>
      </c>
      <c r="Z244" s="76">
        <v>0.09</v>
      </c>
      <c r="AA244" s="79">
        <f t="shared" si="147"/>
        <v>0</v>
      </c>
    </row>
    <row r="245" ht="15.75" customHeight="1">
      <c r="A245" s="80"/>
      <c r="B245" s="115" t="s">
        <v>237</v>
      </c>
      <c r="C245" s="42"/>
      <c r="D245" s="43"/>
      <c r="E245" s="154">
        <v>1.0</v>
      </c>
      <c r="F245" s="154" t="s">
        <v>29</v>
      </c>
      <c r="G245" s="75">
        <v>1.0</v>
      </c>
      <c r="H245" s="75"/>
      <c r="I245" s="75"/>
      <c r="J245" s="75"/>
      <c r="K245" s="75">
        <f t="shared" si="143"/>
        <v>0</v>
      </c>
      <c r="L245" s="76">
        <v>0.09</v>
      </c>
      <c r="M245" s="79">
        <f t="shared" si="144"/>
        <v>0</v>
      </c>
      <c r="N245" s="84"/>
      <c r="O245" s="60"/>
      <c r="P245" s="154">
        <v>1.0</v>
      </c>
      <c r="Q245" s="154" t="s">
        <v>29</v>
      </c>
      <c r="R245" s="75">
        <v>1.0</v>
      </c>
      <c r="S245" s="75"/>
      <c r="T245" s="75"/>
      <c r="U245" s="75"/>
      <c r="V245" s="75">
        <f t="shared" si="145"/>
        <v>0</v>
      </c>
      <c r="W245" s="76">
        <v>0.09</v>
      </c>
      <c r="X245" s="79">
        <f t="shared" si="146"/>
        <v>0</v>
      </c>
      <c r="Y245" s="75">
        <v>0.0</v>
      </c>
      <c r="Z245" s="76">
        <v>0.09</v>
      </c>
      <c r="AA245" s="79">
        <f t="shared" si="147"/>
        <v>0</v>
      </c>
    </row>
    <row r="246" ht="15.75" customHeight="1">
      <c r="A246" s="80"/>
      <c r="B246" s="115" t="s">
        <v>238</v>
      </c>
      <c r="C246" s="42"/>
      <c r="D246" s="43"/>
      <c r="E246" s="154">
        <v>1.0</v>
      </c>
      <c r="F246" s="154" t="s">
        <v>29</v>
      </c>
      <c r="G246" s="75">
        <v>1.0</v>
      </c>
      <c r="H246" s="75"/>
      <c r="I246" s="156"/>
      <c r="J246" s="156"/>
      <c r="K246" s="75">
        <f t="shared" si="143"/>
        <v>0</v>
      </c>
      <c r="L246" s="76">
        <v>0.09</v>
      </c>
      <c r="M246" s="79">
        <f t="shared" si="144"/>
        <v>0</v>
      </c>
      <c r="N246" s="84"/>
      <c r="O246" s="60"/>
      <c r="P246" s="154">
        <v>1.0</v>
      </c>
      <c r="Q246" s="154" t="s">
        <v>29</v>
      </c>
      <c r="R246" s="75">
        <v>1.0</v>
      </c>
      <c r="S246" s="75"/>
      <c r="T246" s="156"/>
      <c r="U246" s="156"/>
      <c r="V246" s="75">
        <f t="shared" si="145"/>
        <v>0</v>
      </c>
      <c r="W246" s="76">
        <v>0.09</v>
      </c>
      <c r="X246" s="79">
        <f t="shared" si="146"/>
        <v>0</v>
      </c>
      <c r="Y246" s="75">
        <v>0.0</v>
      </c>
      <c r="Z246" s="76">
        <v>0.09</v>
      </c>
      <c r="AA246" s="79">
        <f t="shared" si="147"/>
        <v>0</v>
      </c>
    </row>
    <row r="247" ht="15.75" customHeight="1">
      <c r="A247" s="80"/>
      <c r="B247" s="115" t="s">
        <v>239</v>
      </c>
      <c r="C247" s="42"/>
      <c r="D247" s="43"/>
      <c r="E247" s="116">
        <v>1.0</v>
      </c>
      <c r="F247" s="154" t="s">
        <v>29</v>
      </c>
      <c r="G247" s="117">
        <v>1.0</v>
      </c>
      <c r="H247" s="117"/>
      <c r="I247" s="117"/>
      <c r="J247" s="117"/>
      <c r="K247" s="75">
        <f t="shared" si="143"/>
        <v>0</v>
      </c>
      <c r="L247" s="76">
        <v>0.09</v>
      </c>
      <c r="M247" s="79">
        <f t="shared" si="144"/>
        <v>0</v>
      </c>
      <c r="N247" s="84"/>
      <c r="O247" s="60"/>
      <c r="P247" s="116">
        <v>1.0</v>
      </c>
      <c r="Q247" s="154" t="s">
        <v>29</v>
      </c>
      <c r="R247" s="117">
        <v>1.0</v>
      </c>
      <c r="S247" s="117"/>
      <c r="T247" s="117"/>
      <c r="U247" s="117"/>
      <c r="V247" s="75">
        <f t="shared" si="145"/>
        <v>0</v>
      </c>
      <c r="W247" s="76">
        <v>0.09</v>
      </c>
      <c r="X247" s="79">
        <f t="shared" si="146"/>
        <v>0</v>
      </c>
      <c r="Y247" s="75">
        <v>0.0</v>
      </c>
      <c r="Z247" s="76">
        <v>0.09</v>
      </c>
      <c r="AA247" s="79">
        <f t="shared" si="147"/>
        <v>0</v>
      </c>
    </row>
    <row r="248" ht="15.75" customHeight="1">
      <c r="A248" s="80"/>
      <c r="B248" s="167" t="s">
        <v>240</v>
      </c>
      <c r="C248" s="168"/>
      <c r="D248" s="36"/>
      <c r="E248" s="116">
        <v>1.0</v>
      </c>
      <c r="F248" s="154" t="s">
        <v>29</v>
      </c>
      <c r="G248" s="117">
        <v>1.0</v>
      </c>
      <c r="H248" s="117"/>
      <c r="I248" s="117"/>
      <c r="J248" s="117"/>
      <c r="K248" s="75">
        <f t="shared" si="143"/>
        <v>0</v>
      </c>
      <c r="L248" s="76">
        <v>0.09</v>
      </c>
      <c r="M248" s="79">
        <f t="shared" si="144"/>
        <v>0</v>
      </c>
      <c r="N248" s="84"/>
      <c r="O248" s="60"/>
      <c r="P248" s="116">
        <v>1.0</v>
      </c>
      <c r="Q248" s="154" t="s">
        <v>29</v>
      </c>
      <c r="R248" s="117">
        <v>1.0</v>
      </c>
      <c r="S248" s="117"/>
      <c r="T248" s="117"/>
      <c r="U248" s="117"/>
      <c r="V248" s="75">
        <f t="shared" si="145"/>
        <v>0</v>
      </c>
      <c r="W248" s="76">
        <v>0.09</v>
      </c>
      <c r="X248" s="79">
        <f t="shared" si="146"/>
        <v>0</v>
      </c>
      <c r="Y248" s="75">
        <v>0.0</v>
      </c>
      <c r="Z248" s="76">
        <v>0.09</v>
      </c>
      <c r="AA248" s="79">
        <f t="shared" si="147"/>
        <v>0</v>
      </c>
    </row>
    <row r="249" ht="15.75" customHeight="1">
      <c r="A249" s="80"/>
      <c r="B249" s="151" t="s">
        <v>241</v>
      </c>
      <c r="C249" s="152"/>
      <c r="D249" s="153"/>
      <c r="E249" s="116">
        <v>1.0</v>
      </c>
      <c r="F249" s="154" t="s">
        <v>29</v>
      </c>
      <c r="G249" s="117">
        <v>1.0</v>
      </c>
      <c r="H249" s="117"/>
      <c r="I249" s="117"/>
      <c r="J249" s="117"/>
      <c r="K249" s="75">
        <f t="shared" si="143"/>
        <v>0</v>
      </c>
      <c r="L249" s="76">
        <v>0.09</v>
      </c>
      <c r="M249" s="79">
        <f t="shared" si="144"/>
        <v>0</v>
      </c>
      <c r="N249" s="84"/>
      <c r="O249" s="60"/>
      <c r="P249" s="116">
        <v>1.0</v>
      </c>
      <c r="Q249" s="154" t="s">
        <v>29</v>
      </c>
      <c r="R249" s="117">
        <v>1.0</v>
      </c>
      <c r="S249" s="117"/>
      <c r="T249" s="117"/>
      <c r="U249" s="117"/>
      <c r="V249" s="75">
        <f t="shared" si="145"/>
        <v>0</v>
      </c>
      <c r="W249" s="76">
        <v>0.09</v>
      </c>
      <c r="X249" s="79">
        <f t="shared" si="146"/>
        <v>0</v>
      </c>
      <c r="Y249" s="75">
        <v>0.0</v>
      </c>
      <c r="Z249" s="76">
        <v>0.09</v>
      </c>
      <c r="AA249" s="79">
        <f t="shared" si="147"/>
        <v>0</v>
      </c>
    </row>
    <row r="250" ht="15.75" customHeight="1">
      <c r="A250" s="80"/>
      <c r="B250" s="151" t="s">
        <v>242</v>
      </c>
      <c r="C250" s="152"/>
      <c r="D250" s="153"/>
      <c r="E250" s="116">
        <v>1.0</v>
      </c>
      <c r="F250" s="154" t="s">
        <v>29</v>
      </c>
      <c r="G250" s="117">
        <v>1.0</v>
      </c>
      <c r="H250" s="117"/>
      <c r="I250" s="117"/>
      <c r="J250" s="117"/>
      <c r="K250" s="75">
        <f t="shared" si="143"/>
        <v>0</v>
      </c>
      <c r="L250" s="76">
        <v>0.09</v>
      </c>
      <c r="M250" s="79">
        <f t="shared" si="144"/>
        <v>0</v>
      </c>
      <c r="N250" s="84"/>
      <c r="O250" s="60"/>
      <c r="P250" s="116">
        <v>1.0</v>
      </c>
      <c r="Q250" s="154" t="s">
        <v>29</v>
      </c>
      <c r="R250" s="117">
        <v>1.0</v>
      </c>
      <c r="S250" s="117"/>
      <c r="T250" s="117"/>
      <c r="U250" s="117"/>
      <c r="V250" s="75">
        <f t="shared" si="145"/>
        <v>0</v>
      </c>
      <c r="W250" s="76">
        <v>0.09</v>
      </c>
      <c r="X250" s="79">
        <f t="shared" si="146"/>
        <v>0</v>
      </c>
      <c r="Y250" s="75">
        <v>0.0</v>
      </c>
      <c r="Z250" s="76">
        <v>0.09</v>
      </c>
      <c r="AA250" s="79">
        <f t="shared" si="147"/>
        <v>0</v>
      </c>
    </row>
    <row r="251" ht="15.75" customHeight="1">
      <c r="A251" s="80"/>
      <c r="B251" s="151" t="s">
        <v>243</v>
      </c>
      <c r="C251" s="152"/>
      <c r="D251" s="153"/>
      <c r="E251" s="116">
        <v>1.0</v>
      </c>
      <c r="F251" s="154" t="s">
        <v>29</v>
      </c>
      <c r="G251" s="117">
        <v>1.0</v>
      </c>
      <c r="H251" s="117"/>
      <c r="I251" s="117"/>
      <c r="J251" s="117"/>
      <c r="K251" s="75">
        <f t="shared" si="143"/>
        <v>0</v>
      </c>
      <c r="L251" s="76">
        <v>0.09</v>
      </c>
      <c r="M251" s="79">
        <f t="shared" si="144"/>
        <v>0</v>
      </c>
      <c r="N251" s="84"/>
      <c r="O251" s="60"/>
      <c r="P251" s="116">
        <v>1.0</v>
      </c>
      <c r="Q251" s="154" t="s">
        <v>29</v>
      </c>
      <c r="R251" s="117">
        <v>1.0</v>
      </c>
      <c r="S251" s="117"/>
      <c r="T251" s="117"/>
      <c r="U251" s="117"/>
      <c r="V251" s="75">
        <f t="shared" si="145"/>
        <v>0</v>
      </c>
      <c r="W251" s="76">
        <v>0.09</v>
      </c>
      <c r="X251" s="79">
        <f t="shared" si="146"/>
        <v>0</v>
      </c>
      <c r="Y251" s="75">
        <v>0.0</v>
      </c>
      <c r="Z251" s="76">
        <v>0.09</v>
      </c>
      <c r="AA251" s="79">
        <f t="shared" si="147"/>
        <v>0</v>
      </c>
    </row>
    <row r="252" ht="15.75" customHeight="1">
      <c r="A252" s="80"/>
      <c r="B252" s="151" t="s">
        <v>244</v>
      </c>
      <c r="C252" s="152"/>
      <c r="D252" s="153"/>
      <c r="E252" s="116">
        <v>1.0</v>
      </c>
      <c r="F252" s="154" t="s">
        <v>29</v>
      </c>
      <c r="G252" s="117">
        <v>1.0</v>
      </c>
      <c r="H252" s="117"/>
      <c r="I252" s="117"/>
      <c r="J252" s="117"/>
      <c r="K252" s="75">
        <f t="shared" si="143"/>
        <v>0</v>
      </c>
      <c r="L252" s="76">
        <v>0.09</v>
      </c>
      <c r="M252" s="79">
        <f t="shared" si="144"/>
        <v>0</v>
      </c>
      <c r="N252" s="84"/>
      <c r="O252" s="60"/>
      <c r="P252" s="116">
        <v>1.0</v>
      </c>
      <c r="Q252" s="154" t="s">
        <v>29</v>
      </c>
      <c r="R252" s="117">
        <v>1.0</v>
      </c>
      <c r="S252" s="117"/>
      <c r="T252" s="117"/>
      <c r="U252" s="117"/>
      <c r="V252" s="75">
        <f t="shared" si="145"/>
        <v>0</v>
      </c>
      <c r="W252" s="76">
        <v>0.09</v>
      </c>
      <c r="X252" s="79">
        <f t="shared" si="146"/>
        <v>0</v>
      </c>
      <c r="Y252" s="75">
        <v>0.0</v>
      </c>
      <c r="Z252" s="76">
        <v>0.09</v>
      </c>
      <c r="AA252" s="79">
        <f t="shared" si="147"/>
        <v>0</v>
      </c>
    </row>
    <row r="253" ht="15.75" customHeight="1">
      <c r="A253" s="80"/>
      <c r="B253" s="151" t="s">
        <v>245</v>
      </c>
      <c r="C253" s="152"/>
      <c r="D253" s="153"/>
      <c r="E253" s="116">
        <v>1.0</v>
      </c>
      <c r="F253" s="154" t="s">
        <v>29</v>
      </c>
      <c r="G253" s="117">
        <v>1.0</v>
      </c>
      <c r="H253" s="117"/>
      <c r="I253" s="117"/>
      <c r="J253" s="117"/>
      <c r="K253" s="75">
        <f t="shared" si="143"/>
        <v>0</v>
      </c>
      <c r="L253" s="76">
        <v>0.09</v>
      </c>
      <c r="M253" s="79">
        <f t="shared" si="144"/>
        <v>0</v>
      </c>
      <c r="N253" s="84"/>
      <c r="O253" s="60"/>
      <c r="P253" s="116">
        <v>1.0</v>
      </c>
      <c r="Q253" s="154" t="s">
        <v>29</v>
      </c>
      <c r="R253" s="117">
        <v>1.0</v>
      </c>
      <c r="S253" s="117"/>
      <c r="T253" s="117"/>
      <c r="U253" s="117"/>
      <c r="V253" s="75">
        <f t="shared" si="145"/>
        <v>0</v>
      </c>
      <c r="W253" s="76">
        <v>0.09</v>
      </c>
      <c r="X253" s="79">
        <f t="shared" si="146"/>
        <v>0</v>
      </c>
      <c r="Y253" s="75">
        <v>0.0</v>
      </c>
      <c r="Z253" s="76">
        <v>0.09</v>
      </c>
      <c r="AA253" s="79">
        <f t="shared" si="147"/>
        <v>0</v>
      </c>
    </row>
    <row r="254" ht="15.75" customHeight="1">
      <c r="A254" s="80"/>
      <c r="B254" s="151" t="s">
        <v>246</v>
      </c>
      <c r="C254" s="152"/>
      <c r="D254" s="153"/>
      <c r="E254" s="116">
        <v>1.0</v>
      </c>
      <c r="F254" s="154" t="s">
        <v>29</v>
      </c>
      <c r="G254" s="117">
        <v>1.0</v>
      </c>
      <c r="H254" s="117"/>
      <c r="I254" s="117"/>
      <c r="J254" s="117"/>
      <c r="K254" s="75">
        <f t="shared" si="143"/>
        <v>0</v>
      </c>
      <c r="L254" s="76">
        <v>0.09</v>
      </c>
      <c r="M254" s="79">
        <f t="shared" si="144"/>
        <v>0</v>
      </c>
      <c r="N254" s="84"/>
      <c r="O254" s="60"/>
      <c r="P254" s="116">
        <v>1.0</v>
      </c>
      <c r="Q254" s="154" t="s">
        <v>29</v>
      </c>
      <c r="R254" s="117">
        <v>1.0</v>
      </c>
      <c r="S254" s="117"/>
      <c r="T254" s="117"/>
      <c r="U254" s="117"/>
      <c r="V254" s="75">
        <f t="shared" si="145"/>
        <v>0</v>
      </c>
      <c r="W254" s="76">
        <v>0.09</v>
      </c>
      <c r="X254" s="79">
        <f t="shared" si="146"/>
        <v>0</v>
      </c>
      <c r="Y254" s="75"/>
      <c r="Z254" s="76">
        <v>0.09</v>
      </c>
      <c r="AA254" s="79">
        <f t="shared" si="147"/>
        <v>0</v>
      </c>
    </row>
    <row r="255" ht="15.75" customHeight="1">
      <c r="A255" s="80"/>
      <c r="B255" s="119" t="s">
        <v>247</v>
      </c>
      <c r="C255" s="120"/>
      <c r="D255" s="121"/>
      <c r="E255" s="122"/>
      <c r="F255" s="123"/>
      <c r="G255" s="124"/>
      <c r="H255" s="124"/>
      <c r="I255" s="124"/>
      <c r="J255" s="124"/>
      <c r="K255" s="124"/>
      <c r="L255" s="124"/>
      <c r="M255" s="125"/>
      <c r="N255" s="173"/>
      <c r="O255" s="60"/>
      <c r="P255" s="123"/>
      <c r="Q255" s="123"/>
      <c r="R255" s="124"/>
      <c r="S255" s="124"/>
      <c r="T255" s="124"/>
      <c r="U255" s="124"/>
      <c r="V255" s="124"/>
      <c r="W255" s="124"/>
      <c r="X255" s="125"/>
      <c r="Y255" s="124"/>
      <c r="Z255" s="124"/>
      <c r="AA255" s="125"/>
    </row>
    <row r="256" ht="15.75" customHeight="1">
      <c r="A256" s="80"/>
      <c r="B256" s="203" t="s">
        <v>248</v>
      </c>
      <c r="C256" s="42"/>
      <c r="D256" s="43"/>
      <c r="E256" s="116">
        <v>1.0</v>
      </c>
      <c r="F256" s="116" t="s">
        <v>145</v>
      </c>
      <c r="G256" s="117">
        <v>1.0</v>
      </c>
      <c r="H256" s="117"/>
      <c r="I256" s="117"/>
      <c r="J256" s="117"/>
      <c r="K256" s="75">
        <f t="shared" ref="K256:K264" si="148">(E256*G256*H256)+(I256*J256*E256*G256)</f>
        <v>0</v>
      </c>
      <c r="L256" s="76">
        <v>0.09</v>
      </c>
      <c r="M256" s="79">
        <f t="shared" ref="M256:M264" si="149">K256/(1-L256)</f>
        <v>0</v>
      </c>
      <c r="N256" s="84"/>
      <c r="O256" s="60"/>
      <c r="P256" s="116">
        <v>1.0</v>
      </c>
      <c r="Q256" s="116" t="s">
        <v>145</v>
      </c>
      <c r="R256" s="117">
        <v>1.0</v>
      </c>
      <c r="S256" s="117"/>
      <c r="T256" s="117"/>
      <c r="U256" s="117"/>
      <c r="V256" s="75">
        <f t="shared" ref="V256:V264" si="150">(P256*R256*S256)+(T256*U256*P256*R256)</f>
        <v>0</v>
      </c>
      <c r="W256" s="76">
        <v>0.09</v>
      </c>
      <c r="X256" s="79">
        <f t="shared" ref="X256:X264" si="151">V256/(1-W256)</f>
        <v>0</v>
      </c>
      <c r="Y256" s="75">
        <v>0.0</v>
      </c>
      <c r="Z256" s="76">
        <v>0.09</v>
      </c>
      <c r="AA256" s="79">
        <f t="shared" ref="AA256:AA264" si="152">Y256/(1-Z256)</f>
        <v>0</v>
      </c>
    </row>
    <row r="257" ht="15.75" customHeight="1">
      <c r="A257" s="80"/>
      <c r="B257" s="203" t="s">
        <v>249</v>
      </c>
      <c r="C257" s="42"/>
      <c r="D257" s="43"/>
      <c r="E257" s="116">
        <v>1.0</v>
      </c>
      <c r="F257" s="116" t="s">
        <v>145</v>
      </c>
      <c r="G257" s="117">
        <v>1.0</v>
      </c>
      <c r="H257" s="117"/>
      <c r="I257" s="117"/>
      <c r="J257" s="117"/>
      <c r="K257" s="75">
        <f t="shared" si="148"/>
        <v>0</v>
      </c>
      <c r="L257" s="76">
        <v>0.09</v>
      </c>
      <c r="M257" s="79">
        <f t="shared" si="149"/>
        <v>0</v>
      </c>
      <c r="N257" s="84"/>
      <c r="O257" s="60"/>
      <c r="P257" s="116">
        <v>1.0</v>
      </c>
      <c r="Q257" s="116" t="s">
        <v>145</v>
      </c>
      <c r="R257" s="117">
        <v>1.0</v>
      </c>
      <c r="S257" s="117"/>
      <c r="T257" s="117"/>
      <c r="U257" s="117"/>
      <c r="V257" s="75">
        <f t="shared" si="150"/>
        <v>0</v>
      </c>
      <c r="W257" s="76">
        <v>0.09</v>
      </c>
      <c r="X257" s="79">
        <f t="shared" si="151"/>
        <v>0</v>
      </c>
      <c r="Y257" s="75">
        <v>0.0</v>
      </c>
      <c r="Z257" s="76">
        <v>0.09</v>
      </c>
      <c r="AA257" s="79">
        <f t="shared" si="152"/>
        <v>0</v>
      </c>
    </row>
    <row r="258" ht="15.75" customHeight="1">
      <c r="A258" s="80"/>
      <c r="B258" s="203" t="s">
        <v>250</v>
      </c>
      <c r="C258" s="42"/>
      <c r="D258" s="43"/>
      <c r="E258" s="116">
        <v>1.0</v>
      </c>
      <c r="F258" s="116" t="s">
        <v>145</v>
      </c>
      <c r="G258" s="117">
        <v>1.0</v>
      </c>
      <c r="H258" s="117"/>
      <c r="I258" s="117"/>
      <c r="J258" s="117"/>
      <c r="K258" s="75">
        <f t="shared" si="148"/>
        <v>0</v>
      </c>
      <c r="L258" s="76">
        <v>0.09</v>
      </c>
      <c r="M258" s="79">
        <f t="shared" si="149"/>
        <v>0</v>
      </c>
      <c r="N258" s="84"/>
      <c r="O258" s="60"/>
      <c r="P258" s="116">
        <v>1.0</v>
      </c>
      <c r="Q258" s="116" t="s">
        <v>145</v>
      </c>
      <c r="R258" s="117">
        <v>1.0</v>
      </c>
      <c r="S258" s="117"/>
      <c r="T258" s="117"/>
      <c r="U258" s="117"/>
      <c r="V258" s="75">
        <f t="shared" si="150"/>
        <v>0</v>
      </c>
      <c r="W258" s="76">
        <v>0.09</v>
      </c>
      <c r="X258" s="79">
        <f t="shared" si="151"/>
        <v>0</v>
      </c>
      <c r="Y258" s="75">
        <v>0.0</v>
      </c>
      <c r="Z258" s="76">
        <v>0.09</v>
      </c>
      <c r="AA258" s="79">
        <f t="shared" si="152"/>
        <v>0</v>
      </c>
    </row>
    <row r="259" ht="15.75" customHeight="1">
      <c r="A259" s="80"/>
      <c r="B259" s="203" t="s">
        <v>35</v>
      </c>
      <c r="C259" s="42"/>
      <c r="D259" s="43"/>
      <c r="E259" s="116">
        <v>1.0</v>
      </c>
      <c r="F259" s="116" t="s">
        <v>145</v>
      </c>
      <c r="G259" s="117">
        <v>1.0</v>
      </c>
      <c r="H259" s="117"/>
      <c r="I259" s="117"/>
      <c r="J259" s="117"/>
      <c r="K259" s="75">
        <f t="shared" si="148"/>
        <v>0</v>
      </c>
      <c r="L259" s="76">
        <v>0.09</v>
      </c>
      <c r="M259" s="79">
        <f t="shared" si="149"/>
        <v>0</v>
      </c>
      <c r="N259" s="84"/>
      <c r="O259" s="60"/>
      <c r="P259" s="116">
        <v>1.0</v>
      </c>
      <c r="Q259" s="116" t="s">
        <v>145</v>
      </c>
      <c r="R259" s="117">
        <v>1.0</v>
      </c>
      <c r="S259" s="117"/>
      <c r="T259" s="117"/>
      <c r="U259" s="117"/>
      <c r="V259" s="75">
        <f t="shared" si="150"/>
        <v>0</v>
      </c>
      <c r="W259" s="76">
        <v>0.09</v>
      </c>
      <c r="X259" s="79">
        <f t="shared" si="151"/>
        <v>0</v>
      </c>
      <c r="Y259" s="75">
        <v>0.0</v>
      </c>
      <c r="Z259" s="76">
        <v>0.09</v>
      </c>
      <c r="AA259" s="79">
        <f t="shared" si="152"/>
        <v>0</v>
      </c>
    </row>
    <row r="260" ht="15.75" customHeight="1">
      <c r="A260" s="80"/>
      <c r="B260" s="203" t="s">
        <v>251</v>
      </c>
      <c r="C260" s="42"/>
      <c r="D260" s="43"/>
      <c r="E260" s="116">
        <v>1.0</v>
      </c>
      <c r="F260" s="116" t="s">
        <v>145</v>
      </c>
      <c r="G260" s="117">
        <v>1.0</v>
      </c>
      <c r="H260" s="117"/>
      <c r="I260" s="117"/>
      <c r="J260" s="117"/>
      <c r="K260" s="75">
        <f t="shared" si="148"/>
        <v>0</v>
      </c>
      <c r="L260" s="76">
        <v>0.09</v>
      </c>
      <c r="M260" s="79">
        <f t="shared" si="149"/>
        <v>0</v>
      </c>
      <c r="N260" s="84"/>
      <c r="O260" s="60"/>
      <c r="P260" s="116">
        <v>1.0</v>
      </c>
      <c r="Q260" s="116" t="s">
        <v>145</v>
      </c>
      <c r="R260" s="117">
        <v>1.0</v>
      </c>
      <c r="S260" s="117"/>
      <c r="T260" s="117"/>
      <c r="U260" s="117"/>
      <c r="V260" s="75">
        <f t="shared" si="150"/>
        <v>0</v>
      </c>
      <c r="W260" s="76">
        <v>0.09</v>
      </c>
      <c r="X260" s="79">
        <f t="shared" si="151"/>
        <v>0</v>
      </c>
      <c r="Y260" s="75">
        <v>0.0</v>
      </c>
      <c r="Z260" s="76">
        <v>0.09</v>
      </c>
      <c r="AA260" s="79">
        <f t="shared" si="152"/>
        <v>0</v>
      </c>
    </row>
    <row r="261" ht="15.75" customHeight="1">
      <c r="A261" s="80"/>
      <c r="B261" s="204" t="s">
        <v>252</v>
      </c>
      <c r="C261" s="168"/>
      <c r="D261" s="36"/>
      <c r="E261" s="116">
        <v>1.0</v>
      </c>
      <c r="F261" s="116" t="s">
        <v>145</v>
      </c>
      <c r="G261" s="117">
        <v>1.0</v>
      </c>
      <c r="H261" s="117"/>
      <c r="I261" s="117"/>
      <c r="J261" s="117"/>
      <c r="K261" s="75">
        <f t="shared" si="148"/>
        <v>0</v>
      </c>
      <c r="L261" s="76">
        <v>0.09</v>
      </c>
      <c r="M261" s="79">
        <f t="shared" si="149"/>
        <v>0</v>
      </c>
      <c r="N261" s="84"/>
      <c r="O261" s="60"/>
      <c r="P261" s="116">
        <v>1.0</v>
      </c>
      <c r="Q261" s="116" t="s">
        <v>145</v>
      </c>
      <c r="R261" s="117">
        <v>1.0</v>
      </c>
      <c r="S261" s="117"/>
      <c r="T261" s="117"/>
      <c r="U261" s="117"/>
      <c r="V261" s="75">
        <f t="shared" si="150"/>
        <v>0</v>
      </c>
      <c r="W261" s="76">
        <v>0.09</v>
      </c>
      <c r="X261" s="79">
        <f t="shared" si="151"/>
        <v>0</v>
      </c>
      <c r="Y261" s="75">
        <v>0.0</v>
      </c>
      <c r="Z261" s="76">
        <v>0.09</v>
      </c>
      <c r="AA261" s="79">
        <f t="shared" si="152"/>
        <v>0</v>
      </c>
    </row>
    <row r="262" ht="15.75" customHeight="1">
      <c r="A262" s="80"/>
      <c r="B262" s="205" t="s">
        <v>253</v>
      </c>
      <c r="C262" s="152"/>
      <c r="D262" s="153"/>
      <c r="E262" s="116">
        <v>1.0</v>
      </c>
      <c r="F262" s="116" t="s">
        <v>145</v>
      </c>
      <c r="G262" s="117">
        <v>1.0</v>
      </c>
      <c r="H262" s="117"/>
      <c r="I262" s="117"/>
      <c r="J262" s="117"/>
      <c r="K262" s="75">
        <f t="shared" si="148"/>
        <v>0</v>
      </c>
      <c r="L262" s="76">
        <v>0.09</v>
      </c>
      <c r="M262" s="79">
        <f t="shared" si="149"/>
        <v>0</v>
      </c>
      <c r="N262" s="84"/>
      <c r="O262" s="60"/>
      <c r="P262" s="116">
        <v>1.0</v>
      </c>
      <c r="Q262" s="116" t="s">
        <v>145</v>
      </c>
      <c r="R262" s="117">
        <v>1.0</v>
      </c>
      <c r="S262" s="117"/>
      <c r="T262" s="117"/>
      <c r="U262" s="117"/>
      <c r="V262" s="75">
        <f t="shared" si="150"/>
        <v>0</v>
      </c>
      <c r="W262" s="76">
        <v>0.09</v>
      </c>
      <c r="X262" s="79">
        <f t="shared" si="151"/>
        <v>0</v>
      </c>
      <c r="Y262" s="75">
        <v>0.0</v>
      </c>
      <c r="Z262" s="76">
        <v>0.09</v>
      </c>
      <c r="AA262" s="79">
        <f t="shared" si="152"/>
        <v>0</v>
      </c>
    </row>
    <row r="263" ht="15.75" customHeight="1">
      <c r="A263" s="80"/>
      <c r="B263" s="205" t="s">
        <v>245</v>
      </c>
      <c r="C263" s="152"/>
      <c r="D263" s="153"/>
      <c r="E263" s="116">
        <v>1.0</v>
      </c>
      <c r="F263" s="116" t="s">
        <v>145</v>
      </c>
      <c r="G263" s="117">
        <v>1.0</v>
      </c>
      <c r="H263" s="117"/>
      <c r="I263" s="117"/>
      <c r="J263" s="117"/>
      <c r="K263" s="75">
        <f t="shared" si="148"/>
        <v>0</v>
      </c>
      <c r="L263" s="76">
        <v>0.09</v>
      </c>
      <c r="M263" s="79">
        <f t="shared" si="149"/>
        <v>0</v>
      </c>
      <c r="N263" s="84"/>
      <c r="O263" s="60"/>
      <c r="P263" s="116">
        <v>1.0</v>
      </c>
      <c r="Q263" s="116" t="s">
        <v>145</v>
      </c>
      <c r="R263" s="117">
        <v>1.0</v>
      </c>
      <c r="S263" s="117"/>
      <c r="T263" s="117"/>
      <c r="U263" s="117"/>
      <c r="V263" s="75">
        <f t="shared" si="150"/>
        <v>0</v>
      </c>
      <c r="W263" s="76">
        <v>0.09</v>
      </c>
      <c r="X263" s="79">
        <f t="shared" si="151"/>
        <v>0</v>
      </c>
      <c r="Y263" s="75">
        <v>0.0</v>
      </c>
      <c r="Z263" s="76">
        <v>0.09</v>
      </c>
      <c r="AA263" s="79">
        <f t="shared" si="152"/>
        <v>0</v>
      </c>
    </row>
    <row r="264" ht="15.75" customHeight="1">
      <c r="A264" s="80"/>
      <c r="B264" s="205" t="s">
        <v>254</v>
      </c>
      <c r="C264" s="152"/>
      <c r="D264" s="153"/>
      <c r="E264" s="116">
        <v>1.0</v>
      </c>
      <c r="F264" s="116" t="s">
        <v>145</v>
      </c>
      <c r="G264" s="117">
        <v>1.0</v>
      </c>
      <c r="H264" s="117"/>
      <c r="I264" s="117"/>
      <c r="J264" s="117"/>
      <c r="K264" s="75">
        <f t="shared" si="148"/>
        <v>0</v>
      </c>
      <c r="L264" s="76">
        <v>0.09</v>
      </c>
      <c r="M264" s="79">
        <f t="shared" si="149"/>
        <v>0</v>
      </c>
      <c r="N264" s="84"/>
      <c r="O264" s="60"/>
      <c r="P264" s="116">
        <v>1.0</v>
      </c>
      <c r="Q264" s="116" t="s">
        <v>145</v>
      </c>
      <c r="R264" s="117">
        <v>1.0</v>
      </c>
      <c r="S264" s="117"/>
      <c r="T264" s="117"/>
      <c r="U264" s="117"/>
      <c r="V264" s="75">
        <f t="shared" si="150"/>
        <v>0</v>
      </c>
      <c r="W264" s="76">
        <v>0.09</v>
      </c>
      <c r="X264" s="79">
        <f t="shared" si="151"/>
        <v>0</v>
      </c>
      <c r="Y264" s="75">
        <v>0.0</v>
      </c>
      <c r="Z264" s="76">
        <v>0.09</v>
      </c>
      <c r="AA264" s="79">
        <f t="shared" si="152"/>
        <v>0</v>
      </c>
    </row>
    <row r="265" ht="15.75" customHeight="1">
      <c r="A265" s="118"/>
      <c r="B265" s="170" t="s">
        <v>255</v>
      </c>
      <c r="C265" s="171"/>
      <c r="D265" s="172"/>
      <c r="E265" s="122"/>
      <c r="F265" s="123"/>
      <c r="G265" s="124"/>
      <c r="H265" s="124"/>
      <c r="I265" s="124"/>
      <c r="J265" s="124"/>
      <c r="K265" s="124"/>
      <c r="L265" s="124"/>
      <c r="M265" s="125"/>
      <c r="N265" s="173"/>
      <c r="O265" s="60"/>
      <c r="P265" s="123"/>
      <c r="Q265" s="123"/>
      <c r="R265" s="124"/>
      <c r="S265" s="124"/>
      <c r="T265" s="124"/>
      <c r="U265" s="124"/>
      <c r="V265" s="124"/>
      <c r="W265" s="124"/>
      <c r="X265" s="125"/>
      <c r="Y265" s="124"/>
      <c r="Z265" s="124"/>
      <c r="AA265" s="125"/>
    </row>
    <row r="266" ht="15.75" customHeight="1">
      <c r="A266" s="85"/>
      <c r="B266" s="151" t="s">
        <v>256</v>
      </c>
      <c r="C266" s="152"/>
      <c r="D266" s="153"/>
      <c r="E266" s="116">
        <v>1.0</v>
      </c>
      <c r="F266" s="116" t="s">
        <v>145</v>
      </c>
      <c r="G266" s="117">
        <v>1.0</v>
      </c>
      <c r="H266" s="117"/>
      <c r="I266" s="117"/>
      <c r="J266" s="117"/>
      <c r="K266" s="75">
        <f t="shared" ref="K266:K270" si="153">(E266*G266*H266)+(I266*J266*E266*G266)</f>
        <v>0</v>
      </c>
      <c r="L266" s="76">
        <v>0.09</v>
      </c>
      <c r="M266" s="79">
        <f t="shared" ref="M266:M270" si="154">K266/(1-L266)</f>
        <v>0</v>
      </c>
      <c r="N266" s="84"/>
      <c r="O266" s="60"/>
      <c r="P266" s="116">
        <v>1.0</v>
      </c>
      <c r="Q266" s="116" t="s">
        <v>145</v>
      </c>
      <c r="R266" s="117">
        <v>1.0</v>
      </c>
      <c r="S266" s="117"/>
      <c r="T266" s="117"/>
      <c r="U266" s="117"/>
      <c r="V266" s="75">
        <f t="shared" ref="V266:V270" si="155">(P266*R266*S266)+(T266*U266*P266*R266)</f>
        <v>0</v>
      </c>
      <c r="W266" s="76">
        <v>0.09</v>
      </c>
      <c r="X266" s="79">
        <f t="shared" ref="X266:X270" si="156">V266/(1-W266)</f>
        <v>0</v>
      </c>
      <c r="Y266" s="75">
        <v>0.0</v>
      </c>
      <c r="Z266" s="76">
        <v>0.09</v>
      </c>
      <c r="AA266" s="79">
        <f t="shared" ref="AA266:AA270" si="157">Y266/(1-Z266)</f>
        <v>0</v>
      </c>
    </row>
    <row r="267" ht="15.75" customHeight="1">
      <c r="A267" s="85"/>
      <c r="B267" s="115" t="s">
        <v>257</v>
      </c>
      <c r="C267" s="42"/>
      <c r="D267" s="43"/>
      <c r="E267" s="154">
        <v>1.0</v>
      </c>
      <c r="F267" s="154" t="s">
        <v>29</v>
      </c>
      <c r="G267" s="75">
        <v>1.0</v>
      </c>
      <c r="H267" s="75"/>
      <c r="I267" s="75"/>
      <c r="J267" s="75"/>
      <c r="K267" s="75">
        <f t="shared" si="153"/>
        <v>0</v>
      </c>
      <c r="L267" s="76">
        <v>0.09</v>
      </c>
      <c r="M267" s="79">
        <f t="shared" si="154"/>
        <v>0</v>
      </c>
      <c r="N267" s="84"/>
      <c r="O267" s="60"/>
      <c r="P267" s="154">
        <v>1.0</v>
      </c>
      <c r="Q267" s="154" t="s">
        <v>29</v>
      </c>
      <c r="R267" s="75">
        <v>1.0</v>
      </c>
      <c r="S267" s="75"/>
      <c r="T267" s="75"/>
      <c r="U267" s="75"/>
      <c r="V267" s="75">
        <f t="shared" si="155"/>
        <v>0</v>
      </c>
      <c r="W267" s="76">
        <v>0.09</v>
      </c>
      <c r="X267" s="79">
        <f t="shared" si="156"/>
        <v>0</v>
      </c>
      <c r="Y267" s="75">
        <v>0.0</v>
      </c>
      <c r="Z267" s="76">
        <v>0.09</v>
      </c>
      <c r="AA267" s="79">
        <f t="shared" si="157"/>
        <v>0</v>
      </c>
    </row>
    <row r="268" ht="15.75" customHeight="1">
      <c r="A268" s="85"/>
      <c r="B268" s="115" t="s">
        <v>258</v>
      </c>
      <c r="C268" s="42"/>
      <c r="D268" s="43"/>
      <c r="E268" s="154">
        <v>1.0</v>
      </c>
      <c r="F268" s="154" t="s">
        <v>29</v>
      </c>
      <c r="G268" s="75">
        <v>1.0</v>
      </c>
      <c r="H268" s="75"/>
      <c r="I268" s="75"/>
      <c r="J268" s="75"/>
      <c r="K268" s="75">
        <f t="shared" si="153"/>
        <v>0</v>
      </c>
      <c r="L268" s="76">
        <v>0.09</v>
      </c>
      <c r="M268" s="79">
        <f t="shared" si="154"/>
        <v>0</v>
      </c>
      <c r="N268" s="84"/>
      <c r="O268" s="60"/>
      <c r="P268" s="154">
        <v>1.0</v>
      </c>
      <c r="Q268" s="154" t="s">
        <v>29</v>
      </c>
      <c r="R268" s="75">
        <v>1.0</v>
      </c>
      <c r="S268" s="75"/>
      <c r="T268" s="75"/>
      <c r="U268" s="75"/>
      <c r="V268" s="75">
        <f t="shared" si="155"/>
        <v>0</v>
      </c>
      <c r="W268" s="76">
        <v>0.09</v>
      </c>
      <c r="X268" s="79">
        <f t="shared" si="156"/>
        <v>0</v>
      </c>
      <c r="Y268" s="75">
        <v>0.0</v>
      </c>
      <c r="Z268" s="76">
        <v>0.09</v>
      </c>
      <c r="AA268" s="79">
        <f t="shared" si="157"/>
        <v>0</v>
      </c>
    </row>
    <row r="269" ht="15.75" customHeight="1">
      <c r="A269" s="85"/>
      <c r="B269" s="115" t="s">
        <v>259</v>
      </c>
      <c r="C269" s="42"/>
      <c r="D269" s="43"/>
      <c r="E269" s="154">
        <v>1.0</v>
      </c>
      <c r="F269" s="154" t="s">
        <v>49</v>
      </c>
      <c r="G269" s="75">
        <v>1.0</v>
      </c>
      <c r="H269" s="75"/>
      <c r="I269" s="75"/>
      <c r="J269" s="75"/>
      <c r="K269" s="75">
        <f t="shared" si="153"/>
        <v>0</v>
      </c>
      <c r="L269" s="76">
        <v>0.09</v>
      </c>
      <c r="M269" s="79">
        <f t="shared" si="154"/>
        <v>0</v>
      </c>
      <c r="N269" s="84"/>
      <c r="O269" s="60"/>
      <c r="P269" s="154">
        <v>1.0</v>
      </c>
      <c r="Q269" s="154" t="s">
        <v>49</v>
      </c>
      <c r="R269" s="75">
        <v>1.0</v>
      </c>
      <c r="S269" s="75"/>
      <c r="T269" s="75"/>
      <c r="U269" s="75"/>
      <c r="V269" s="75">
        <f t="shared" si="155"/>
        <v>0</v>
      </c>
      <c r="W269" s="76">
        <v>0.09</v>
      </c>
      <c r="X269" s="79">
        <f t="shared" si="156"/>
        <v>0</v>
      </c>
      <c r="Y269" s="75">
        <v>0.0</v>
      </c>
      <c r="Z269" s="76">
        <v>0.09</v>
      </c>
      <c r="AA269" s="79">
        <f t="shared" si="157"/>
        <v>0</v>
      </c>
    </row>
    <row r="270" ht="15.75" customHeight="1">
      <c r="A270" s="85"/>
      <c r="B270" s="69" t="s">
        <v>260</v>
      </c>
      <c r="C270" s="70"/>
      <c r="D270" s="71"/>
      <c r="E270" s="154">
        <v>1.0</v>
      </c>
      <c r="F270" s="154" t="s">
        <v>261</v>
      </c>
      <c r="G270" s="75">
        <v>1.0</v>
      </c>
      <c r="H270" s="75"/>
      <c r="I270" s="175"/>
      <c r="J270" s="175"/>
      <c r="K270" s="75">
        <f t="shared" si="153"/>
        <v>0</v>
      </c>
      <c r="L270" s="76">
        <v>0.09</v>
      </c>
      <c r="M270" s="79">
        <f t="shared" si="154"/>
        <v>0</v>
      </c>
      <c r="N270" s="84"/>
      <c r="O270" s="60"/>
      <c r="P270" s="154">
        <v>1.0</v>
      </c>
      <c r="Q270" s="154" t="s">
        <v>261</v>
      </c>
      <c r="R270" s="75">
        <v>1.0</v>
      </c>
      <c r="S270" s="75"/>
      <c r="T270" s="175"/>
      <c r="U270" s="175"/>
      <c r="V270" s="75">
        <f t="shared" si="155"/>
        <v>0</v>
      </c>
      <c r="W270" s="76">
        <v>0.09</v>
      </c>
      <c r="X270" s="79">
        <f t="shared" si="156"/>
        <v>0</v>
      </c>
      <c r="Y270" s="75">
        <v>0.0</v>
      </c>
      <c r="Z270" s="76">
        <v>0.09</v>
      </c>
      <c r="AA270" s="79">
        <f t="shared" si="157"/>
        <v>0</v>
      </c>
    </row>
    <row r="271" ht="15.75" customHeight="1">
      <c r="A271" s="206"/>
      <c r="B271" s="206"/>
      <c r="C271" s="206"/>
      <c r="D271" s="206"/>
      <c r="E271" s="88"/>
      <c r="F271" s="95"/>
      <c r="G271" s="90"/>
      <c r="H271" s="90"/>
      <c r="I271" s="91"/>
      <c r="J271" s="91"/>
      <c r="K271" s="91"/>
      <c r="L271" s="92" t="s">
        <v>262</v>
      </c>
      <c r="M271" s="93">
        <f>SUM(M236:M270)</f>
        <v>21978.02198</v>
      </c>
      <c r="N271" s="94"/>
      <c r="O271" s="60"/>
      <c r="P271" s="95"/>
      <c r="Q271" s="95"/>
      <c r="R271" s="90"/>
      <c r="S271" s="90"/>
      <c r="T271" s="91"/>
      <c r="U271" s="91"/>
      <c r="V271" s="91"/>
      <c r="W271" s="92" t="s">
        <v>262</v>
      </c>
      <c r="X271" s="93">
        <f>SUM(X236:X270)</f>
        <v>21978.02198</v>
      </c>
      <c r="Y271" s="91"/>
      <c r="Z271" s="92" t="s">
        <v>262</v>
      </c>
      <c r="AA271" s="93">
        <f>SUM(AA236:AA270)</f>
        <v>0</v>
      </c>
    </row>
    <row r="272" ht="18.75" customHeight="1">
      <c r="A272" s="206"/>
      <c r="B272" s="206"/>
      <c r="C272" s="206"/>
      <c r="D272" s="206"/>
      <c r="E272" s="85"/>
      <c r="F272" s="85"/>
      <c r="G272" s="85"/>
      <c r="H272" s="85"/>
      <c r="I272" s="85"/>
      <c r="J272" s="85"/>
      <c r="K272" s="85"/>
      <c r="L272" s="207"/>
      <c r="M272" s="208"/>
      <c r="N272" s="84"/>
      <c r="O272" s="60"/>
      <c r="P272" s="209"/>
      <c r="Q272" s="209"/>
      <c r="R272" s="207"/>
      <c r="S272" s="207"/>
      <c r="T272" s="207"/>
      <c r="U272" s="207"/>
      <c r="V272" s="207"/>
      <c r="W272" s="207"/>
      <c r="X272" s="210"/>
      <c r="Y272" s="78"/>
      <c r="Z272" s="78"/>
      <c r="AA272" s="78"/>
    </row>
    <row r="273" ht="15.75" customHeight="1">
      <c r="A273" s="206"/>
      <c r="B273" s="206"/>
      <c r="C273" s="206"/>
      <c r="D273" s="206"/>
      <c r="E273" s="211"/>
      <c r="F273" s="211"/>
      <c r="G273" s="211"/>
      <c r="H273" s="211"/>
      <c r="I273" s="212"/>
      <c r="J273" s="213"/>
      <c r="K273" s="213"/>
      <c r="L273" s="213" t="s">
        <v>263</v>
      </c>
      <c r="M273" s="214">
        <f>M18+M29+M37+M121+M149+M166+M182+M190+M209+M233</f>
        <v>2084725.275</v>
      </c>
      <c r="N273" s="84"/>
      <c r="O273" s="60"/>
      <c r="P273" s="215"/>
      <c r="Q273" s="211"/>
      <c r="R273" s="211"/>
      <c r="S273" s="211"/>
      <c r="T273" s="211"/>
      <c r="U273" s="211"/>
      <c r="V273" s="212"/>
      <c r="W273" s="213" t="s">
        <v>192</v>
      </c>
      <c r="X273" s="214">
        <f>X18+X29+X37+X121+X149+X166+X182+X190+X209+X233</f>
        <v>2018791.209</v>
      </c>
      <c r="Y273" s="212"/>
      <c r="Z273" s="213" t="s">
        <v>192</v>
      </c>
      <c r="AA273" s="214">
        <f>AA18+AA29+AA37+AA121+AA149+AA166+AA182+AA190+AA209+AA233</f>
        <v>0</v>
      </c>
    </row>
    <row r="274" ht="15.75" customHeight="1">
      <c r="A274" s="206"/>
      <c r="B274" s="206"/>
      <c r="C274" s="206"/>
      <c r="D274" s="206"/>
      <c r="E274" s="211"/>
      <c r="F274" s="211"/>
      <c r="G274" s="211"/>
      <c r="H274" s="211"/>
      <c r="I274" s="212"/>
      <c r="J274" s="213"/>
      <c r="K274" s="213"/>
      <c r="L274" s="213" t="s">
        <v>264</v>
      </c>
      <c r="M274" s="216">
        <f>M271</f>
        <v>21978.02198</v>
      </c>
      <c r="N274" s="84"/>
      <c r="O274" s="60"/>
      <c r="P274" s="215"/>
      <c r="Q274" s="211"/>
      <c r="R274" s="211"/>
      <c r="S274" s="211"/>
      <c r="T274" s="211"/>
      <c r="U274" s="211"/>
      <c r="V274" s="212"/>
      <c r="W274" s="217" t="s">
        <v>264</v>
      </c>
      <c r="X274" s="216">
        <f>X271</f>
        <v>21978.02198</v>
      </c>
      <c r="Y274" s="212"/>
      <c r="Z274" s="217" t="s">
        <v>264</v>
      </c>
      <c r="AA274" s="216">
        <f>AA271</f>
        <v>0</v>
      </c>
    </row>
    <row r="275" ht="15.75" customHeight="1">
      <c r="A275" s="206"/>
      <c r="B275" s="206"/>
      <c r="C275" s="206"/>
      <c r="D275" s="206"/>
      <c r="E275" s="218"/>
      <c r="F275" s="218"/>
      <c r="G275" s="218"/>
      <c r="H275" s="218"/>
      <c r="I275" s="217"/>
      <c r="J275" s="217"/>
      <c r="K275" s="217" t="s">
        <v>265</v>
      </c>
      <c r="L275" s="219">
        <v>0.03</v>
      </c>
      <c r="M275" s="220">
        <f>(M273+M274)*L275</f>
        <v>63201.0989</v>
      </c>
      <c r="N275" s="84"/>
      <c r="O275" s="60"/>
      <c r="P275" s="221"/>
      <c r="Q275" s="218"/>
      <c r="R275" s="218"/>
      <c r="S275" s="218"/>
      <c r="T275" s="218"/>
      <c r="U275" s="218"/>
      <c r="V275" s="217"/>
      <c r="W275" s="217" t="s">
        <v>265</v>
      </c>
      <c r="X275" s="220">
        <f>M275</f>
        <v>63201.0989</v>
      </c>
      <c r="Y275" s="217"/>
      <c r="Z275" s="217" t="s">
        <v>265</v>
      </c>
      <c r="AA275" s="220">
        <v>0.0</v>
      </c>
    </row>
    <row r="276" ht="15.75" customHeight="1">
      <c r="A276" s="206"/>
      <c r="B276" s="206"/>
      <c r="C276" s="206"/>
      <c r="D276" s="206"/>
      <c r="E276" s="222"/>
      <c r="F276" s="222"/>
      <c r="G276" s="222"/>
      <c r="H276" s="222"/>
      <c r="I276" s="222"/>
      <c r="J276" s="223"/>
      <c r="K276" s="223"/>
      <c r="L276" s="223" t="s">
        <v>266</v>
      </c>
      <c r="M276" s="224">
        <f>M273+M274+M275</f>
        <v>2169904.396</v>
      </c>
      <c r="N276" s="84"/>
      <c r="O276" s="60"/>
      <c r="P276" s="225"/>
      <c r="Q276" s="222"/>
      <c r="R276" s="222"/>
      <c r="S276" s="222"/>
      <c r="T276" s="222"/>
      <c r="U276" s="222"/>
      <c r="V276" s="222"/>
      <c r="W276" s="223" t="s">
        <v>266</v>
      </c>
      <c r="X276" s="224">
        <f>X273+X274+X275</f>
        <v>2103970.33</v>
      </c>
      <c r="Y276" s="223"/>
      <c r="Z276" s="223" t="s">
        <v>267</v>
      </c>
      <c r="AA276" s="224">
        <f>AA273+AA274+AA275</f>
        <v>0</v>
      </c>
    </row>
    <row r="277" ht="15.75" customHeight="1">
      <c r="A277" s="206"/>
      <c r="B277" s="206"/>
      <c r="C277" s="206"/>
      <c r="D277" s="206"/>
      <c r="E277" s="226"/>
      <c r="F277" s="226"/>
      <c r="G277" s="226"/>
      <c r="H277" s="226"/>
      <c r="I277" s="227"/>
      <c r="J277" s="227"/>
      <c r="K277" s="227" t="s">
        <v>268</v>
      </c>
      <c r="L277" s="228">
        <v>0.1</v>
      </c>
      <c r="M277" s="214">
        <f>M276*L277</f>
        <v>216990.4396</v>
      </c>
      <c r="N277" s="84"/>
      <c r="O277" s="60"/>
      <c r="P277" s="229"/>
      <c r="Q277" s="226"/>
      <c r="R277" s="226"/>
      <c r="S277" s="226"/>
      <c r="T277" s="226"/>
      <c r="U277" s="226"/>
      <c r="V277" s="213"/>
      <c r="W277" s="213"/>
      <c r="X277" s="213"/>
      <c r="Y277" s="230"/>
      <c r="Z277" s="213"/>
      <c r="AA277" s="213"/>
    </row>
    <row r="278" ht="15.75" customHeight="1">
      <c r="A278" s="206"/>
      <c r="B278" s="206"/>
      <c r="C278" s="206"/>
      <c r="D278" s="206"/>
      <c r="E278" s="218"/>
      <c r="F278" s="218"/>
      <c r="G278" s="218"/>
      <c r="H278" s="218"/>
      <c r="I278" s="217"/>
      <c r="J278" s="217"/>
      <c r="K278" s="217" t="s">
        <v>269</v>
      </c>
      <c r="L278" s="220">
        <v>2.0</v>
      </c>
      <c r="M278" s="220">
        <f>M276*L278*4.5%</f>
        <v>195291.3956</v>
      </c>
      <c r="N278" s="84"/>
      <c r="O278" s="60"/>
      <c r="P278" s="221"/>
      <c r="Q278" s="218"/>
      <c r="R278" s="218"/>
      <c r="S278" s="218"/>
      <c r="T278" s="218"/>
      <c r="U278" s="218"/>
      <c r="V278" s="217" t="s">
        <v>270</v>
      </c>
      <c r="W278" s="220">
        <f>L278</f>
        <v>2</v>
      </c>
      <c r="X278" s="220">
        <f>X276*W278*4.5%/2</f>
        <v>94678.66484</v>
      </c>
      <c r="Y278" s="217"/>
      <c r="Z278" s="217" t="s">
        <v>270</v>
      </c>
      <c r="AA278" s="220">
        <f>X278</f>
        <v>94678.66484</v>
      </c>
    </row>
    <row r="279" ht="15.75" customHeight="1">
      <c r="A279" s="206"/>
      <c r="B279" s="206"/>
      <c r="C279" s="206"/>
      <c r="D279" s="206"/>
      <c r="E279" s="222"/>
      <c r="F279" s="222"/>
      <c r="G279" s="222"/>
      <c r="H279" s="222"/>
      <c r="I279" s="222"/>
      <c r="J279" s="223"/>
      <c r="K279" s="223"/>
      <c r="L279" s="223" t="s">
        <v>271</v>
      </c>
      <c r="M279" s="224">
        <f>SUM(M276+M277+M278)</f>
        <v>2582186.231</v>
      </c>
      <c r="N279" s="84"/>
      <c r="O279" s="60"/>
      <c r="P279" s="225"/>
      <c r="Q279" s="222"/>
      <c r="R279" s="222"/>
      <c r="S279" s="222"/>
      <c r="T279" s="222"/>
      <c r="U279" s="222"/>
      <c r="V279" s="222"/>
      <c r="W279" s="223" t="s">
        <v>272</v>
      </c>
      <c r="X279" s="224">
        <f>SUM(X276+X278)</f>
        <v>2198648.995</v>
      </c>
      <c r="Y279" s="231"/>
      <c r="Z279" s="231" t="s">
        <v>272</v>
      </c>
      <c r="AA279" s="224">
        <f>SUM(AA276+AA278)</f>
        <v>94678.66484</v>
      </c>
    </row>
    <row r="280" ht="15.75" customHeight="1">
      <c r="A280" s="206"/>
      <c r="B280" s="206"/>
      <c r="C280" s="206"/>
      <c r="D280" s="206"/>
      <c r="E280" s="232"/>
      <c r="F280" s="232"/>
      <c r="G280" s="232"/>
      <c r="H280" s="232"/>
      <c r="I280" s="233"/>
      <c r="J280" s="213"/>
      <c r="K280" s="213"/>
      <c r="L280" s="213" t="s">
        <v>273</v>
      </c>
      <c r="M280" s="79">
        <f>M279*0.22</f>
        <v>568080.9708</v>
      </c>
      <c r="N280" s="84"/>
      <c r="O280" s="60"/>
      <c r="P280" s="234"/>
      <c r="Q280" s="232"/>
      <c r="R280" s="232"/>
      <c r="S280" s="232"/>
      <c r="T280" s="232"/>
      <c r="U280" s="232"/>
      <c r="V280" s="233"/>
      <c r="W280" s="213"/>
      <c r="X280" s="213"/>
      <c r="Y280" s="233"/>
      <c r="Z280" s="213"/>
      <c r="AA280" s="213"/>
    </row>
    <row r="281" ht="15.75" customHeight="1">
      <c r="A281" s="206"/>
      <c r="B281" s="206"/>
      <c r="C281" s="206"/>
      <c r="D281" s="206"/>
      <c r="E281" s="222"/>
      <c r="F281" s="222"/>
      <c r="G281" s="222"/>
      <c r="H281" s="222"/>
      <c r="I281" s="222"/>
      <c r="J281" s="231"/>
      <c r="K281" s="231"/>
      <c r="L281" s="223" t="s">
        <v>274</v>
      </c>
      <c r="M281" s="235">
        <f>M279+M280</f>
        <v>3150267.202</v>
      </c>
      <c r="N281" s="84"/>
      <c r="O281" s="60"/>
      <c r="P281" s="236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  <c r="AA281" s="213"/>
    </row>
    <row r="282" ht="15.75" customHeight="1">
      <c r="A282" s="206"/>
      <c r="B282" s="206"/>
      <c r="C282" s="206"/>
      <c r="D282" s="206"/>
      <c r="E282" s="82"/>
      <c r="F282" s="206"/>
      <c r="G282" s="206"/>
      <c r="H282" s="206"/>
      <c r="I282" s="206"/>
      <c r="J282" s="206"/>
      <c r="K282" s="206"/>
      <c r="L282" s="206"/>
      <c r="M282" s="206"/>
      <c r="N282" s="84"/>
      <c r="O282" s="60"/>
      <c r="P282" s="209"/>
      <c r="Q282" s="209"/>
      <c r="R282" s="207"/>
      <c r="S282" s="207"/>
      <c r="T282" s="207"/>
      <c r="U282" s="207"/>
      <c r="V282" s="207"/>
      <c r="W282" s="207"/>
      <c r="X282" s="210"/>
      <c r="Y282" s="207"/>
      <c r="Z282" s="207"/>
      <c r="AA282" s="210"/>
    </row>
    <row r="283" ht="15.75" customHeight="1">
      <c r="A283" s="206"/>
      <c r="B283" s="69" t="s">
        <v>275</v>
      </c>
      <c r="C283" s="70"/>
      <c r="D283" s="71"/>
      <c r="E283" s="237" t="s">
        <v>276</v>
      </c>
      <c r="N283" s="238"/>
      <c r="O283" s="60"/>
      <c r="P283" s="239" t="s">
        <v>277</v>
      </c>
      <c r="X283" s="240">
        <f>M279-X279</f>
        <v>383537.2363</v>
      </c>
      <c r="Y283" s="241" t="s">
        <v>278</v>
      </c>
      <c r="AA283" s="242">
        <f>M279-AA279</f>
        <v>2487507.566</v>
      </c>
    </row>
    <row r="284" ht="15.75" customHeight="1">
      <c r="A284" s="206"/>
      <c r="B284" s="206"/>
      <c r="C284" s="206"/>
      <c r="D284" s="206"/>
      <c r="N284" s="238"/>
      <c r="O284" s="60"/>
      <c r="X284" s="243">
        <f>X283/M279</f>
        <v>0.148531981</v>
      </c>
      <c r="AA284" s="244">
        <f>AA283/M279</f>
        <v>0.9633339131</v>
      </c>
    </row>
    <row r="285" ht="15.75" customHeight="1">
      <c r="A285" s="206"/>
      <c r="B285" s="206"/>
      <c r="C285" s="206"/>
      <c r="D285" s="206"/>
      <c r="N285" s="238"/>
      <c r="O285" s="60"/>
      <c r="X285" s="245"/>
      <c r="AA285" s="246"/>
    </row>
    <row r="286" ht="13.5" customHeight="1">
      <c r="A286" s="206"/>
      <c r="B286" s="206"/>
      <c r="C286" s="206"/>
      <c r="D286" s="206"/>
      <c r="N286" s="238"/>
      <c r="O286" s="247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  <c r="AA286" s="248"/>
    </row>
    <row r="287" ht="15.75" customHeight="1">
      <c r="A287" s="206"/>
      <c r="B287" s="206"/>
      <c r="C287" s="206"/>
      <c r="D287" s="206"/>
      <c r="N287" s="238"/>
      <c r="O287" s="249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  <c r="AA287" s="248"/>
    </row>
    <row r="288" ht="15.75" customHeight="1">
      <c r="A288" s="206"/>
      <c r="B288" s="206"/>
      <c r="C288" s="206"/>
      <c r="D288" s="206"/>
      <c r="N288" s="238"/>
      <c r="O288" s="249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  <c r="AA288" s="248"/>
    </row>
    <row r="289" ht="15.75" customHeight="1">
      <c r="A289" s="206"/>
      <c r="B289" s="206"/>
      <c r="C289" s="206"/>
      <c r="D289" s="206"/>
      <c r="N289" s="238"/>
      <c r="O289" s="249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  <c r="AA289" s="248"/>
    </row>
    <row r="290" ht="15.75" customHeight="1">
      <c r="A290" s="206"/>
      <c r="B290" s="206"/>
      <c r="C290" s="206"/>
      <c r="D290" s="206"/>
      <c r="E290" s="248"/>
      <c r="F290" s="248"/>
      <c r="G290" s="248"/>
      <c r="H290" s="248"/>
      <c r="I290" s="248"/>
      <c r="J290" s="248"/>
      <c r="K290" s="248"/>
      <c r="L290" s="248"/>
      <c r="M290" s="248"/>
      <c r="N290" s="250"/>
      <c r="O290" s="249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  <c r="AA290" s="248"/>
    </row>
    <row r="291" ht="15.75" customHeight="1">
      <c r="A291" s="206"/>
      <c r="B291" s="206"/>
      <c r="C291" s="206"/>
      <c r="D291" s="206"/>
      <c r="E291" s="248"/>
      <c r="F291" s="248"/>
      <c r="G291" s="248"/>
      <c r="H291" s="248"/>
      <c r="I291" s="248"/>
      <c r="J291" s="248"/>
      <c r="K291" s="248"/>
      <c r="L291" s="248"/>
      <c r="M291" s="248"/>
      <c r="N291" s="250"/>
      <c r="O291" s="249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  <c r="AA291" s="248"/>
    </row>
    <row r="292" ht="15.75" customHeight="1">
      <c r="A292" s="248"/>
      <c r="B292" s="248"/>
      <c r="C292" s="248"/>
      <c r="D292" s="248"/>
      <c r="E292" s="248"/>
      <c r="F292" s="248"/>
      <c r="G292" s="248"/>
      <c r="H292" s="248"/>
      <c r="I292" s="248"/>
      <c r="J292" s="248"/>
      <c r="K292" s="248"/>
      <c r="L292" s="248"/>
      <c r="M292" s="248"/>
      <c r="N292" s="248"/>
      <c r="O292" s="249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  <c r="AA292" s="248"/>
    </row>
    <row r="293" ht="15.75" customHeight="1">
      <c r="A293" s="248"/>
      <c r="B293" s="248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9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  <c r="AA293" s="248"/>
    </row>
    <row r="294" ht="15.75" customHeight="1">
      <c r="A294" s="248"/>
      <c r="B294" s="248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9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  <c r="AA294" s="248"/>
    </row>
    <row r="295" ht="15.75" customHeight="1">
      <c r="A295" s="248"/>
      <c r="B295" s="248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9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  <c r="AA295" s="248"/>
    </row>
    <row r="296" ht="15.75" customHeight="1">
      <c r="A296" s="248"/>
      <c r="B296" s="248"/>
      <c r="C296" s="248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  <c r="N296" s="248"/>
      <c r="O296" s="249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  <c r="AA296" s="248"/>
    </row>
    <row r="297" ht="15.75" customHeight="1">
      <c r="A297" s="248"/>
      <c r="B297" s="248"/>
      <c r="C297" s="248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  <c r="N297" s="248"/>
      <c r="O297" s="249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  <c r="AA297" s="248"/>
    </row>
    <row r="298" ht="15.75" customHeight="1">
      <c r="A298" s="248"/>
      <c r="B298" s="248"/>
      <c r="C298" s="248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  <c r="N298" s="248"/>
      <c r="O298" s="249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  <c r="AA298" s="248"/>
    </row>
    <row r="299" ht="15.75" customHeight="1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9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</row>
    <row r="300" ht="15.75" customHeight="1">
      <c r="A300" s="248"/>
      <c r="B300" s="248"/>
      <c r="C300" s="248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  <c r="N300" s="248"/>
      <c r="O300" s="249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  <c r="AA300" s="248"/>
    </row>
    <row r="301" ht="15.75" customHeight="1">
      <c r="A301" s="248"/>
      <c r="B301" s="248"/>
      <c r="C301" s="248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  <c r="N301" s="248"/>
      <c r="O301" s="249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  <c r="AA301" s="248"/>
    </row>
    <row r="302" ht="15.75" customHeight="1">
      <c r="A302" s="248"/>
      <c r="B302" s="248"/>
      <c r="C302" s="248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48"/>
      <c r="O302" s="249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  <c r="AA302" s="248"/>
    </row>
    <row r="303" ht="15.75" customHeight="1">
      <c r="A303" s="248"/>
      <c r="B303" s="248"/>
      <c r="C303" s="248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  <c r="N303" s="248"/>
      <c r="O303" s="249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  <c r="AA303" s="248"/>
    </row>
    <row r="304" ht="15.75" customHeight="1">
      <c r="A304" s="248"/>
      <c r="B304" s="248"/>
      <c r="C304" s="248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  <c r="N304" s="248"/>
      <c r="O304" s="249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  <c r="AA304" s="248"/>
    </row>
    <row r="305" ht="15.75" customHeight="1">
      <c r="A305" s="248"/>
      <c r="B305" s="248"/>
      <c r="C305" s="248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  <c r="N305" s="248"/>
      <c r="O305" s="249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  <c r="AA305" s="248"/>
    </row>
    <row r="306" ht="15.75" customHeight="1">
      <c r="A306" s="248"/>
      <c r="B306" s="248"/>
      <c r="C306" s="248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  <c r="N306" s="248"/>
      <c r="O306" s="249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  <c r="AA306" s="248"/>
    </row>
    <row r="307" ht="15.75" customHeight="1">
      <c r="A307" s="248"/>
      <c r="B307" s="248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  <c r="N307" s="248"/>
      <c r="O307" s="249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  <c r="AA307" s="248"/>
    </row>
    <row r="308" ht="15.75" customHeight="1">
      <c r="A308" s="248"/>
      <c r="B308" s="248"/>
      <c r="C308" s="248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  <c r="N308" s="248"/>
      <c r="O308" s="249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  <c r="AA308" s="248"/>
    </row>
    <row r="309" ht="15.75" customHeight="1">
      <c r="A309" s="248"/>
      <c r="B309" s="248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9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</row>
    <row r="310" ht="15.75" customHeight="1">
      <c r="A310" s="248"/>
      <c r="B310" s="248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9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</row>
    <row r="311" ht="15.75" customHeight="1">
      <c r="A311" s="248"/>
      <c r="B311" s="248"/>
      <c r="C311" s="248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  <c r="N311" s="248"/>
      <c r="O311" s="249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  <c r="AA311" s="248"/>
    </row>
    <row r="312" ht="15.75" customHeight="1">
      <c r="A312" s="248"/>
      <c r="B312" s="248"/>
      <c r="C312" s="248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  <c r="N312" s="248"/>
      <c r="O312" s="249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  <c r="AA312" s="248"/>
    </row>
    <row r="313" ht="15.75" customHeight="1">
      <c r="A313" s="248"/>
      <c r="B313" s="248"/>
      <c r="C313" s="248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  <c r="N313" s="248"/>
      <c r="O313" s="249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  <c r="AA313" s="248"/>
    </row>
    <row r="314" ht="15.75" customHeight="1">
      <c r="A314" s="248"/>
      <c r="B314" s="248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8"/>
      <c r="O314" s="249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  <c r="AA314" s="248"/>
    </row>
    <row r="315" ht="15.75" customHeight="1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9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</row>
    <row r="316" ht="15.75" customHeight="1">
      <c r="A316" s="248"/>
      <c r="B316" s="248"/>
      <c r="C316" s="248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  <c r="N316" s="248"/>
      <c r="O316" s="249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</row>
    <row r="317" ht="15.75" customHeight="1">
      <c r="A317" s="248"/>
      <c r="B317" s="248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9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</row>
    <row r="318" ht="15.75" customHeight="1">
      <c r="A318" s="248"/>
      <c r="B318" s="248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9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  <c r="AA318" s="248"/>
    </row>
    <row r="319" ht="15.75" customHeight="1">
      <c r="A319" s="248"/>
      <c r="B319" s="248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9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  <c r="AA319" s="248"/>
    </row>
    <row r="320" ht="15.75" customHeight="1">
      <c r="A320" s="248"/>
      <c r="B320" s="248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9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  <c r="AA320" s="248"/>
    </row>
    <row r="321" ht="15.75" customHeight="1">
      <c r="A321" s="248"/>
      <c r="B321" s="248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9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  <c r="AA321" s="248"/>
    </row>
    <row r="322" ht="15.75" customHeight="1">
      <c r="A322" s="248"/>
      <c r="B322" s="248"/>
      <c r="C322" s="248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  <c r="N322" s="248"/>
      <c r="O322" s="249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  <c r="AA322" s="248"/>
    </row>
    <row r="323" ht="15.75" customHeight="1">
      <c r="A323" s="248"/>
      <c r="B323" s="248"/>
      <c r="C323" s="248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  <c r="N323" s="248"/>
      <c r="O323" s="249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  <c r="AA323" s="248"/>
    </row>
    <row r="324" ht="15.75" customHeight="1">
      <c r="A324" s="248"/>
      <c r="B324" s="248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9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  <c r="AA324" s="248"/>
    </row>
    <row r="325" ht="15.75" customHeight="1">
      <c r="A325" s="248"/>
      <c r="B325" s="248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9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  <c r="AA325" s="248"/>
    </row>
    <row r="326" ht="15.75" customHeight="1">
      <c r="A326" s="248"/>
      <c r="B326" s="248"/>
      <c r="C326" s="248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  <c r="N326" s="248"/>
      <c r="O326" s="249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  <c r="AA326" s="248"/>
    </row>
    <row r="327" ht="15.75" customHeight="1">
      <c r="A327" s="248"/>
      <c r="B327" s="248"/>
      <c r="C327" s="248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  <c r="N327" s="248"/>
      <c r="O327" s="249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  <c r="AA327" s="248"/>
    </row>
    <row r="328" ht="15.75" customHeight="1">
      <c r="A328" s="248"/>
      <c r="B328" s="248"/>
      <c r="C328" s="248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  <c r="N328" s="248"/>
      <c r="O328" s="249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  <c r="AA328" s="248"/>
    </row>
    <row r="329" ht="15.75" customHeight="1">
      <c r="A329" s="248"/>
      <c r="B329" s="248"/>
      <c r="C329" s="248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  <c r="N329" s="248"/>
      <c r="O329" s="249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</row>
    <row r="330" ht="15.75" customHeight="1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9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</row>
    <row r="331" ht="15.75" customHeight="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9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</row>
    <row r="332" ht="15.75" customHeight="1">
      <c r="A332" s="248"/>
      <c r="B332" s="248"/>
      <c r="C332" s="248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  <c r="N332" s="248"/>
      <c r="O332" s="249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  <c r="AA332" s="248"/>
    </row>
    <row r="333" ht="15.75" customHeight="1">
      <c r="A333" s="248"/>
      <c r="B333" s="248"/>
      <c r="C333" s="248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  <c r="N333" s="248"/>
      <c r="O333" s="249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  <c r="AA333" s="248"/>
    </row>
    <row r="334" ht="15.75" customHeight="1">
      <c r="A334" s="248"/>
      <c r="B334" s="248"/>
      <c r="C334" s="248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  <c r="N334" s="248"/>
      <c r="O334" s="249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  <c r="AA334" s="248"/>
    </row>
    <row r="335" ht="15.75" customHeight="1">
      <c r="A335" s="248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9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  <c r="AA335" s="248"/>
    </row>
    <row r="336" ht="15.75" customHeight="1">
      <c r="A336" s="248"/>
      <c r="B336" s="248"/>
      <c r="C336" s="248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  <c r="N336" s="248"/>
      <c r="O336" s="249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  <c r="AA336" s="248"/>
    </row>
    <row r="337" ht="15.75" customHeight="1">
      <c r="A337" s="248"/>
      <c r="B337" s="248"/>
      <c r="C337" s="248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  <c r="N337" s="248"/>
      <c r="O337" s="249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  <c r="AA337" s="248"/>
    </row>
    <row r="338" ht="15.75" customHeight="1">
      <c r="A338" s="248"/>
      <c r="B338" s="248"/>
      <c r="C338" s="248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  <c r="N338" s="248"/>
      <c r="O338" s="249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  <c r="AA338" s="248"/>
    </row>
    <row r="339" ht="15.75" customHeight="1">
      <c r="A339" s="248"/>
      <c r="B339" s="248"/>
      <c r="C339" s="248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  <c r="N339" s="248"/>
      <c r="O339" s="249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  <c r="AA339" s="248"/>
    </row>
    <row r="340" ht="15.75" customHeight="1">
      <c r="A340" s="248"/>
      <c r="B340" s="248"/>
      <c r="C340" s="248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8"/>
      <c r="O340" s="249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  <c r="AA340" s="248"/>
    </row>
    <row r="341" ht="15.75" customHeight="1">
      <c r="A341" s="248"/>
      <c r="B341" s="248"/>
      <c r="C341" s="248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  <c r="N341" s="248"/>
      <c r="O341" s="249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  <c r="AA341" s="248"/>
    </row>
    <row r="342" ht="15.75" customHeight="1">
      <c r="A342" s="248"/>
      <c r="B342" s="248"/>
      <c r="C342" s="248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  <c r="N342" s="248"/>
      <c r="O342" s="249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  <c r="AA342" s="248"/>
    </row>
    <row r="343" ht="15.75" customHeight="1">
      <c r="A343" s="248"/>
      <c r="B343" s="248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9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  <c r="AA343" s="248"/>
    </row>
    <row r="344" ht="15.75" customHeight="1">
      <c r="A344" s="248"/>
      <c r="B344" s="248"/>
      <c r="C344" s="248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  <c r="N344" s="248"/>
      <c r="O344" s="249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  <c r="AA344" s="248"/>
    </row>
    <row r="345" ht="15.75" customHeight="1">
      <c r="A345" s="248"/>
      <c r="B345" s="248"/>
      <c r="C345" s="248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  <c r="N345" s="248"/>
      <c r="O345" s="249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  <c r="AA345" s="248"/>
    </row>
    <row r="346" ht="15.75" customHeight="1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9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  <c r="AA346" s="248"/>
    </row>
    <row r="347" ht="15.75" customHeight="1">
      <c r="A347" s="248"/>
      <c r="B347" s="248"/>
      <c r="C347" s="248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  <c r="N347" s="248"/>
      <c r="O347" s="249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  <c r="AA347" s="248"/>
    </row>
    <row r="348" ht="15.75" customHeight="1">
      <c r="A348" s="248"/>
      <c r="B348" s="248"/>
      <c r="C348" s="248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  <c r="N348" s="248"/>
      <c r="O348" s="249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  <c r="AA348" s="248"/>
    </row>
    <row r="349" ht="15.75" customHeight="1">
      <c r="A349" s="248"/>
      <c r="B349" s="248"/>
      <c r="C349" s="248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  <c r="N349" s="248"/>
      <c r="O349" s="249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  <c r="AA349" s="248"/>
    </row>
    <row r="350" ht="15.75" customHeight="1">
      <c r="A350" s="248"/>
      <c r="B350" s="248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9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  <c r="AA350" s="248"/>
    </row>
    <row r="351" ht="15.75" customHeight="1">
      <c r="A351" s="248"/>
      <c r="B351" s="248"/>
      <c r="C351" s="248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  <c r="N351" s="248"/>
      <c r="O351" s="249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  <c r="AA351" s="248"/>
    </row>
    <row r="352" ht="15.75" customHeight="1">
      <c r="A352" s="248"/>
      <c r="B352" s="248"/>
      <c r="C352" s="248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  <c r="N352" s="248"/>
      <c r="O352" s="249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  <c r="AA352" s="248"/>
    </row>
    <row r="353" ht="15.75" customHeight="1">
      <c r="A353" s="248"/>
      <c r="B353" s="248"/>
      <c r="C353" s="248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  <c r="N353" s="248"/>
      <c r="O353" s="249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  <c r="AA353" s="248"/>
    </row>
    <row r="354" ht="15.75" customHeight="1">
      <c r="A354" s="248"/>
      <c r="B354" s="248"/>
      <c r="C354" s="248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  <c r="N354" s="248"/>
      <c r="O354" s="249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  <c r="AA354" s="248"/>
    </row>
    <row r="355" ht="15.75" customHeight="1">
      <c r="A355" s="248"/>
      <c r="B355" s="248"/>
      <c r="C355" s="248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  <c r="N355" s="248"/>
      <c r="O355" s="249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  <c r="AA355" s="248"/>
    </row>
    <row r="356" ht="15.75" customHeight="1">
      <c r="A356" s="248"/>
      <c r="B356" s="248"/>
      <c r="C356" s="248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  <c r="N356" s="248"/>
      <c r="O356" s="249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  <c r="AA356" s="248"/>
    </row>
    <row r="357" ht="15.75" customHeight="1">
      <c r="A357" s="248"/>
      <c r="B357" s="248"/>
      <c r="C357" s="248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  <c r="N357" s="248"/>
      <c r="O357" s="249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  <c r="AA357" s="248"/>
    </row>
    <row r="358" ht="15.75" customHeight="1">
      <c r="A358" s="248"/>
      <c r="B358" s="248"/>
      <c r="C358" s="248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  <c r="N358" s="248"/>
      <c r="O358" s="249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  <c r="AA358" s="248"/>
    </row>
    <row r="359" ht="15.75" customHeight="1">
      <c r="A359" s="248"/>
      <c r="B359" s="248"/>
      <c r="C359" s="248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  <c r="N359" s="248"/>
      <c r="O359" s="249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  <c r="AA359" s="248"/>
    </row>
    <row r="360" ht="15.75" customHeight="1">
      <c r="A360" s="248"/>
      <c r="B360" s="248"/>
      <c r="C360" s="248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  <c r="N360" s="248"/>
      <c r="O360" s="249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  <c r="AA360" s="248"/>
    </row>
    <row r="361" ht="15.75" customHeight="1">
      <c r="A361" s="248"/>
      <c r="B361" s="248"/>
      <c r="C361" s="248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  <c r="N361" s="248"/>
      <c r="O361" s="249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  <c r="AA361" s="248"/>
    </row>
    <row r="362" ht="15.75" customHeight="1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9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</row>
    <row r="363" ht="15.75" customHeight="1">
      <c r="A363" s="248"/>
      <c r="B363" s="248"/>
      <c r="C363" s="248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  <c r="N363" s="248"/>
      <c r="O363" s="249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  <c r="AA363" s="248"/>
    </row>
    <row r="364" ht="15.75" customHeight="1">
      <c r="A364" s="248"/>
      <c r="B364" s="248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9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  <c r="AA364" s="248"/>
    </row>
    <row r="365" ht="15.75" customHeight="1">
      <c r="A365" s="248"/>
      <c r="B365" s="248"/>
      <c r="C365" s="248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  <c r="N365" s="248"/>
      <c r="O365" s="249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  <c r="AA365" s="248"/>
    </row>
    <row r="366" ht="15.75" customHeight="1">
      <c r="A366" s="248"/>
      <c r="B366" s="248"/>
      <c r="C366" s="248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  <c r="N366" s="248"/>
      <c r="O366" s="249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  <c r="AA366" s="248"/>
    </row>
    <row r="367" ht="15.75" customHeight="1">
      <c r="A367" s="248"/>
      <c r="B367" s="248"/>
      <c r="C367" s="248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  <c r="N367" s="248"/>
      <c r="O367" s="249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  <c r="AA367" s="248"/>
    </row>
    <row r="368" ht="15.75" customHeight="1">
      <c r="A368" s="248"/>
      <c r="B368" s="248"/>
      <c r="C368" s="248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  <c r="N368" s="248"/>
      <c r="O368" s="249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  <c r="AA368" s="248"/>
    </row>
    <row r="369" ht="15.75" customHeight="1">
      <c r="A369" s="248"/>
      <c r="B369" s="248"/>
      <c r="C369" s="248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  <c r="N369" s="248"/>
      <c r="O369" s="249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  <c r="AA369" s="248"/>
    </row>
    <row r="370" ht="15.75" customHeight="1">
      <c r="A370" s="248"/>
      <c r="B370" s="248"/>
      <c r="C370" s="248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  <c r="N370" s="248"/>
      <c r="O370" s="249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  <c r="AA370" s="248"/>
    </row>
    <row r="371" ht="15.75" customHeight="1">
      <c r="A371" s="248"/>
      <c r="B371" s="248"/>
      <c r="C371" s="248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  <c r="N371" s="248"/>
      <c r="O371" s="249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  <c r="AA371" s="248"/>
    </row>
    <row r="372" ht="15.75" customHeight="1">
      <c r="A372" s="248"/>
      <c r="B372" s="248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48"/>
      <c r="O372" s="249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  <c r="AA372" s="248"/>
    </row>
    <row r="373" ht="15.75" customHeight="1">
      <c r="A373" s="248"/>
      <c r="B373" s="248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9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  <c r="AA373" s="248"/>
    </row>
    <row r="374" ht="15.75" customHeight="1">
      <c r="A374" s="248"/>
      <c r="B374" s="248"/>
      <c r="C374" s="248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  <c r="N374" s="248"/>
      <c r="O374" s="249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  <c r="AA374" s="248"/>
    </row>
    <row r="375" ht="15.75" customHeight="1">
      <c r="A375" s="248"/>
      <c r="B375" s="248"/>
      <c r="C375" s="248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  <c r="N375" s="248"/>
      <c r="O375" s="249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  <c r="AA375" s="248"/>
    </row>
    <row r="376" ht="15.75" customHeight="1">
      <c r="A376" s="248"/>
      <c r="B376" s="248"/>
      <c r="C376" s="248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  <c r="N376" s="248"/>
      <c r="O376" s="249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  <c r="AA376" s="248"/>
    </row>
    <row r="377" ht="15.75" customHeight="1">
      <c r="A377" s="248"/>
      <c r="B377" s="248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9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  <c r="AA377" s="248"/>
    </row>
    <row r="378" ht="15.75" customHeight="1">
      <c r="A378" s="248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9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  <c r="AA378" s="248"/>
    </row>
    <row r="379" ht="15.75" customHeight="1">
      <c r="A379" s="248"/>
      <c r="B379" s="248"/>
      <c r="C379" s="248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  <c r="N379" s="248"/>
      <c r="O379" s="249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  <c r="AA379" s="248"/>
    </row>
    <row r="380" ht="15.75" customHeight="1">
      <c r="A380" s="248"/>
      <c r="B380" s="248"/>
      <c r="C380" s="248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  <c r="N380" s="248"/>
      <c r="O380" s="249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  <c r="AA380" s="248"/>
    </row>
    <row r="381" ht="15.75" customHeight="1">
      <c r="A381" s="248"/>
      <c r="B381" s="248"/>
      <c r="C381" s="248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  <c r="N381" s="248"/>
      <c r="O381" s="249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  <c r="AA381" s="248"/>
    </row>
    <row r="382" ht="15.75" customHeight="1">
      <c r="A382" s="248"/>
      <c r="B382" s="248"/>
      <c r="C382" s="248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  <c r="N382" s="248"/>
      <c r="O382" s="249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  <c r="AA382" s="248"/>
    </row>
    <row r="383" ht="15.75" customHeight="1">
      <c r="A383" s="248"/>
      <c r="B383" s="248"/>
      <c r="C383" s="248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  <c r="N383" s="248"/>
      <c r="O383" s="249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  <c r="AA383" s="248"/>
    </row>
    <row r="384" ht="15.75" customHeight="1">
      <c r="A384" s="248"/>
      <c r="B384" s="248"/>
      <c r="C384" s="248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  <c r="N384" s="248"/>
      <c r="O384" s="249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  <c r="AA384" s="248"/>
    </row>
    <row r="385" ht="15.75" customHeight="1">
      <c r="A385" s="248"/>
      <c r="B385" s="248"/>
      <c r="C385" s="248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  <c r="N385" s="248"/>
      <c r="O385" s="249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  <c r="AA385" s="248"/>
    </row>
    <row r="386" ht="15.75" customHeight="1">
      <c r="A386" s="248"/>
      <c r="B386" s="248"/>
      <c r="C386" s="248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  <c r="N386" s="248"/>
      <c r="O386" s="249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  <c r="AA386" s="248"/>
    </row>
    <row r="387" ht="15.75" customHeight="1">
      <c r="A387" s="248"/>
      <c r="B387" s="248"/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9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  <c r="AA387" s="248"/>
    </row>
    <row r="388" ht="15.75" customHeight="1">
      <c r="A388" s="248"/>
      <c r="B388" s="248"/>
      <c r="C388" s="248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  <c r="N388" s="248"/>
      <c r="O388" s="249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  <c r="AA388" s="248"/>
    </row>
    <row r="389" ht="15.75" customHeight="1">
      <c r="A389" s="248"/>
      <c r="B389" s="248"/>
      <c r="C389" s="248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  <c r="N389" s="248"/>
      <c r="O389" s="249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  <c r="AA389" s="248"/>
    </row>
    <row r="390" ht="15.75" customHeight="1">
      <c r="A390" s="248"/>
      <c r="B390" s="248"/>
      <c r="C390" s="248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  <c r="N390" s="248"/>
      <c r="O390" s="249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  <c r="AA390" s="248"/>
    </row>
    <row r="391" ht="15.75" customHeight="1">
      <c r="A391" s="248"/>
      <c r="B391" s="248"/>
      <c r="C391" s="248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  <c r="N391" s="248"/>
      <c r="O391" s="249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  <c r="AA391" s="248"/>
    </row>
    <row r="392" ht="15.75" customHeight="1">
      <c r="A392" s="248"/>
      <c r="B392" s="248"/>
      <c r="C392" s="248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  <c r="N392" s="248"/>
      <c r="O392" s="249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  <c r="AA392" s="248"/>
    </row>
    <row r="393" ht="15.75" customHeight="1">
      <c r="A393" s="248"/>
      <c r="B393" s="248"/>
      <c r="C393" s="248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  <c r="N393" s="248"/>
      <c r="O393" s="249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  <c r="AA393" s="248"/>
    </row>
    <row r="394" ht="15.75" customHeight="1">
      <c r="A394" s="248"/>
      <c r="B394" s="248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9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  <c r="AA394" s="248"/>
    </row>
    <row r="395" ht="15.75" customHeight="1">
      <c r="A395" s="248"/>
      <c r="B395" s="248"/>
      <c r="C395" s="248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  <c r="N395" s="248"/>
      <c r="O395" s="249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  <c r="AA395" s="248"/>
    </row>
    <row r="396" ht="15.75" customHeight="1">
      <c r="A396" s="248"/>
      <c r="B396" s="248"/>
      <c r="C396" s="248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  <c r="N396" s="248"/>
      <c r="O396" s="249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  <c r="AA396" s="248"/>
    </row>
    <row r="397" ht="15.75" customHeight="1">
      <c r="A397" s="248"/>
      <c r="B397" s="248"/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9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  <c r="AA397" s="248"/>
    </row>
    <row r="398" ht="15.75" customHeight="1">
      <c r="A398" s="248"/>
      <c r="B398" s="248"/>
      <c r="C398" s="248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  <c r="N398" s="248"/>
      <c r="O398" s="249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  <c r="AA398" s="248"/>
    </row>
    <row r="399" ht="15.75" customHeight="1">
      <c r="A399" s="248"/>
      <c r="B399" s="248"/>
      <c r="C399" s="248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  <c r="N399" s="248"/>
      <c r="O399" s="249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  <c r="AA399" s="248"/>
    </row>
    <row r="400" ht="15.75" customHeight="1">
      <c r="A400" s="248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9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  <c r="AA400" s="248"/>
    </row>
    <row r="401" ht="15.75" customHeight="1">
      <c r="A401" s="248"/>
      <c r="B401" s="248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9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  <c r="AA401" s="248"/>
    </row>
    <row r="402" ht="15.75" customHeight="1">
      <c r="A402" s="248"/>
      <c r="B402" s="248"/>
      <c r="C402" s="248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  <c r="N402" s="248"/>
      <c r="O402" s="249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  <c r="AA402" s="248"/>
    </row>
    <row r="403" ht="15.75" customHeight="1">
      <c r="A403" s="248"/>
      <c r="B403" s="248"/>
      <c r="C403" s="248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  <c r="N403" s="248"/>
      <c r="O403" s="249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  <c r="AA403" s="248"/>
    </row>
    <row r="404" ht="15.75" customHeight="1">
      <c r="A404" s="248"/>
      <c r="B404" s="248"/>
      <c r="C404" s="248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  <c r="N404" s="248"/>
      <c r="O404" s="249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  <c r="AA404" s="248"/>
    </row>
    <row r="405" ht="15.75" customHeight="1">
      <c r="A405" s="248"/>
      <c r="B405" s="248"/>
      <c r="C405" s="248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  <c r="N405" s="248"/>
      <c r="O405" s="249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  <c r="AA405" s="248"/>
    </row>
    <row r="406" ht="15.75" customHeight="1">
      <c r="A406" s="248"/>
      <c r="B406" s="248"/>
      <c r="C406" s="248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  <c r="N406" s="248"/>
      <c r="O406" s="249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  <c r="AA406" s="248"/>
    </row>
    <row r="407" ht="15.75" customHeight="1">
      <c r="A407" s="248"/>
      <c r="B407" s="248"/>
      <c r="C407" s="248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  <c r="N407" s="248"/>
      <c r="O407" s="249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  <c r="AA407" s="248"/>
    </row>
    <row r="408" ht="15.75" customHeight="1">
      <c r="A408" s="248"/>
      <c r="B408" s="248"/>
      <c r="C408" s="248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  <c r="N408" s="248"/>
      <c r="O408" s="249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  <c r="AA408" s="248"/>
    </row>
    <row r="409" ht="15.75" customHeight="1">
      <c r="A409" s="248"/>
      <c r="B409" s="248"/>
      <c r="C409" s="248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  <c r="N409" s="248"/>
      <c r="O409" s="249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  <c r="AA409" s="248"/>
    </row>
    <row r="410" ht="15.75" customHeight="1">
      <c r="A410" s="248"/>
      <c r="B410" s="248"/>
      <c r="C410" s="248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  <c r="N410" s="248"/>
      <c r="O410" s="249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  <c r="AA410" s="248"/>
    </row>
    <row r="411" ht="15.75" customHeight="1">
      <c r="A411" s="248"/>
      <c r="B411" s="248"/>
      <c r="C411" s="248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  <c r="N411" s="248"/>
      <c r="O411" s="249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  <c r="AA411" s="248"/>
    </row>
    <row r="412" ht="15.75" customHeight="1">
      <c r="A412" s="248"/>
      <c r="B412" s="248"/>
      <c r="C412" s="248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  <c r="N412" s="248"/>
      <c r="O412" s="249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  <c r="AA412" s="248"/>
    </row>
    <row r="413" ht="15.75" customHeight="1">
      <c r="A413" s="248"/>
      <c r="B413" s="248"/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9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  <c r="AA413" s="248"/>
    </row>
    <row r="414" ht="15.75" customHeight="1">
      <c r="A414" s="248"/>
      <c r="B414" s="248"/>
      <c r="C414" s="248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  <c r="N414" s="248"/>
      <c r="O414" s="249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  <c r="AA414" s="248"/>
    </row>
    <row r="415" ht="15.75" customHeight="1">
      <c r="A415" s="248"/>
      <c r="B415" s="248"/>
      <c r="C415" s="248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  <c r="N415" s="248"/>
      <c r="O415" s="249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  <c r="AA415" s="248"/>
    </row>
    <row r="416" ht="15.75" customHeight="1">
      <c r="A416" s="248"/>
      <c r="B416" s="248"/>
      <c r="C416" s="248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  <c r="N416" s="248"/>
      <c r="O416" s="249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  <c r="AA416" s="248"/>
    </row>
    <row r="417" ht="15.75" customHeight="1">
      <c r="A417" s="248"/>
      <c r="B417" s="248"/>
      <c r="C417" s="248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  <c r="N417" s="248"/>
      <c r="O417" s="249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  <c r="AA417" s="248"/>
    </row>
    <row r="418" ht="15.75" customHeight="1">
      <c r="A418" s="248"/>
      <c r="B418" s="248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9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  <c r="AA418" s="248"/>
    </row>
    <row r="419" ht="15.75" customHeight="1">
      <c r="A419" s="248"/>
      <c r="B419" s="248"/>
      <c r="C419" s="248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  <c r="N419" s="248"/>
      <c r="O419" s="249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  <c r="AA419" s="248"/>
    </row>
    <row r="420" ht="15.75" customHeight="1">
      <c r="A420" s="248"/>
      <c r="B420" s="248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9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  <c r="AA420" s="248"/>
    </row>
    <row r="421" ht="15.75" customHeight="1">
      <c r="A421" s="248"/>
      <c r="B421" s="248"/>
      <c r="C421" s="248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  <c r="N421" s="248"/>
      <c r="O421" s="249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  <c r="AA421" s="248"/>
    </row>
    <row r="422" ht="15.75" customHeight="1">
      <c r="A422" s="248"/>
      <c r="B422" s="248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9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  <c r="AA422" s="248"/>
    </row>
    <row r="423" ht="15.75" customHeight="1">
      <c r="A423" s="248"/>
      <c r="B423" s="248"/>
      <c r="C423" s="248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  <c r="N423" s="248"/>
      <c r="O423" s="249"/>
      <c r="P423" s="248"/>
      <c r="Q423" s="248"/>
      <c r="R423" s="248"/>
      <c r="S423" s="248"/>
      <c r="T423" s="248"/>
      <c r="U423" s="248"/>
      <c r="V423" s="248"/>
      <c r="W423" s="248"/>
      <c r="X423" s="248"/>
      <c r="Y423" s="248"/>
      <c r="Z423" s="248"/>
      <c r="AA423" s="248"/>
    </row>
    <row r="424" ht="15.75" customHeight="1">
      <c r="A424" s="248"/>
      <c r="B424" s="248"/>
      <c r="C424" s="248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  <c r="N424" s="248"/>
      <c r="O424" s="249"/>
      <c r="P424" s="248"/>
      <c r="Q424" s="248"/>
      <c r="R424" s="248"/>
      <c r="S424" s="248"/>
      <c r="T424" s="248"/>
      <c r="U424" s="248"/>
      <c r="V424" s="248"/>
      <c r="W424" s="248"/>
      <c r="X424" s="248"/>
      <c r="Y424" s="248"/>
      <c r="Z424" s="248"/>
      <c r="AA424" s="248"/>
    </row>
    <row r="425" ht="15.75" customHeight="1">
      <c r="A425" s="248"/>
      <c r="B425" s="248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9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  <c r="AA425" s="248"/>
    </row>
    <row r="426" ht="15.75" customHeight="1">
      <c r="A426" s="248"/>
      <c r="B426" s="248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48"/>
      <c r="O426" s="249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  <c r="AA426" s="248"/>
    </row>
    <row r="427" ht="15.75" customHeight="1">
      <c r="A427" s="248"/>
      <c r="B427" s="248"/>
      <c r="C427" s="248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  <c r="N427" s="248"/>
      <c r="O427" s="249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  <c r="AA427" s="248"/>
    </row>
    <row r="428" ht="15.75" customHeight="1">
      <c r="A428" s="248"/>
      <c r="B428" s="248"/>
      <c r="C428" s="248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  <c r="N428" s="248"/>
      <c r="O428" s="249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  <c r="AA428" s="248"/>
    </row>
    <row r="429" ht="15.75" customHeight="1">
      <c r="A429" s="248"/>
      <c r="B429" s="248"/>
      <c r="C429" s="248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  <c r="N429" s="248"/>
      <c r="O429" s="249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  <c r="AA429" s="248"/>
    </row>
    <row r="430" ht="15.75" customHeight="1">
      <c r="A430" s="248"/>
      <c r="B430" s="248"/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9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  <c r="AA430" s="248"/>
    </row>
    <row r="431" ht="15.75" customHeight="1">
      <c r="A431" s="248"/>
      <c r="B431" s="248"/>
      <c r="C431" s="248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  <c r="N431" s="248"/>
      <c r="O431" s="249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  <c r="AA431" s="248"/>
    </row>
    <row r="432" ht="15.75" customHeight="1">
      <c r="A432" s="248"/>
      <c r="B432" s="248"/>
      <c r="C432" s="248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  <c r="N432" s="248"/>
      <c r="O432" s="249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  <c r="AA432" s="248"/>
    </row>
    <row r="433" ht="15.75" customHeight="1">
      <c r="A433" s="248"/>
      <c r="B433" s="248"/>
      <c r="C433" s="248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  <c r="N433" s="248"/>
      <c r="O433" s="249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  <c r="AA433" s="248"/>
    </row>
    <row r="434" ht="15.75" customHeight="1">
      <c r="A434" s="248"/>
      <c r="B434" s="248"/>
      <c r="C434" s="248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  <c r="N434" s="248"/>
      <c r="O434" s="249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  <c r="AA434" s="248"/>
    </row>
    <row r="435" ht="15.75" customHeight="1">
      <c r="A435" s="248"/>
      <c r="B435" s="248"/>
      <c r="C435" s="248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  <c r="N435" s="248"/>
      <c r="O435" s="249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  <c r="AA435" s="248"/>
    </row>
    <row r="436" ht="15.75" customHeight="1">
      <c r="A436" s="248"/>
      <c r="B436" s="248"/>
      <c r="C436" s="248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  <c r="N436" s="248"/>
      <c r="O436" s="249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  <c r="AA436" s="248"/>
    </row>
    <row r="437" ht="15.75" customHeight="1">
      <c r="A437" s="248"/>
      <c r="B437" s="248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9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  <c r="AA437" s="248"/>
    </row>
    <row r="438" ht="15.75" customHeight="1">
      <c r="A438" s="248"/>
      <c r="B438" s="248"/>
      <c r="C438" s="248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  <c r="N438" s="248"/>
      <c r="O438" s="249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  <c r="AA438" s="248"/>
    </row>
    <row r="439" ht="15.75" customHeight="1">
      <c r="A439" s="248"/>
      <c r="B439" s="248"/>
      <c r="C439" s="248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48"/>
      <c r="O439" s="249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  <c r="AA439" s="248"/>
    </row>
    <row r="440" ht="15.75" customHeight="1">
      <c r="A440" s="248"/>
      <c r="B440" s="248"/>
      <c r="C440" s="248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  <c r="N440" s="248"/>
      <c r="O440" s="249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  <c r="AA440" s="248"/>
    </row>
    <row r="441" ht="15.75" customHeight="1">
      <c r="A441" s="248"/>
      <c r="B441" s="248"/>
      <c r="C441" s="248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  <c r="N441" s="248"/>
      <c r="O441" s="249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  <c r="AA441" s="248"/>
    </row>
    <row r="442" ht="15.75" customHeight="1">
      <c r="A442" s="248"/>
      <c r="B442" s="248"/>
      <c r="C442" s="248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  <c r="N442" s="248"/>
      <c r="O442" s="249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  <c r="AA442" s="248"/>
    </row>
    <row r="443" ht="15.75" customHeight="1">
      <c r="A443" s="248"/>
      <c r="B443" s="248"/>
      <c r="C443" s="248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  <c r="N443" s="248"/>
      <c r="O443" s="249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  <c r="AA443" s="248"/>
    </row>
    <row r="444" ht="15.75" customHeight="1">
      <c r="A444" s="248"/>
      <c r="B444" s="248"/>
      <c r="C444" s="248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  <c r="N444" s="248"/>
      <c r="O444" s="249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  <c r="AA444" s="248"/>
    </row>
    <row r="445" ht="15.75" customHeight="1">
      <c r="A445" s="248"/>
      <c r="B445" s="248"/>
      <c r="C445" s="248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  <c r="N445" s="248"/>
      <c r="O445" s="249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  <c r="AA445" s="248"/>
    </row>
    <row r="446" ht="15.75" customHeight="1">
      <c r="A446" s="248"/>
      <c r="B446" s="248"/>
      <c r="C446" s="248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  <c r="N446" s="248"/>
      <c r="O446" s="249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  <c r="AA446" s="248"/>
    </row>
    <row r="447" ht="15.75" customHeight="1">
      <c r="A447" s="248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9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  <c r="AA447" s="248"/>
    </row>
    <row r="448" ht="15.75" customHeight="1">
      <c r="A448" s="248"/>
      <c r="B448" s="248"/>
      <c r="C448" s="248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  <c r="N448" s="248"/>
      <c r="O448" s="249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  <c r="AA448" s="248"/>
    </row>
    <row r="449" ht="15.75" customHeight="1">
      <c r="A449" s="248"/>
      <c r="B449" s="248"/>
      <c r="C449" s="248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  <c r="N449" s="248"/>
      <c r="O449" s="249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  <c r="AA449" s="248"/>
    </row>
    <row r="450" ht="15.75" customHeight="1">
      <c r="A450" s="248"/>
      <c r="B450" s="248"/>
      <c r="C450" s="248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  <c r="N450" s="248"/>
      <c r="O450" s="249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  <c r="AA450" s="248"/>
    </row>
    <row r="451" ht="15.75" customHeight="1">
      <c r="A451" s="248"/>
      <c r="B451" s="248"/>
      <c r="C451" s="248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  <c r="N451" s="248"/>
      <c r="O451" s="249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  <c r="AA451" s="248"/>
    </row>
    <row r="452" ht="15.75" customHeight="1">
      <c r="A452" s="248"/>
      <c r="B452" s="248"/>
      <c r="C452" s="248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  <c r="N452" s="248"/>
      <c r="O452" s="249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  <c r="AA452" s="248"/>
    </row>
    <row r="453" ht="15.75" customHeight="1">
      <c r="A453" s="248"/>
      <c r="B453" s="248"/>
      <c r="C453" s="248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  <c r="N453" s="248"/>
      <c r="O453" s="249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  <c r="AA453" s="248"/>
    </row>
    <row r="454" ht="15.75" customHeight="1">
      <c r="A454" s="248"/>
      <c r="B454" s="248"/>
      <c r="C454" s="248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  <c r="N454" s="248"/>
      <c r="O454" s="249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  <c r="AA454" s="248"/>
    </row>
    <row r="455" ht="15.75" customHeight="1">
      <c r="A455" s="248"/>
      <c r="B455" s="248"/>
      <c r="C455" s="248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  <c r="N455" s="248"/>
      <c r="O455" s="249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  <c r="AA455" s="248"/>
    </row>
    <row r="456" ht="15.75" customHeight="1">
      <c r="A456" s="248"/>
      <c r="B456" s="248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9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  <c r="AA456" s="248"/>
    </row>
    <row r="457" ht="15.75" customHeight="1">
      <c r="A457" s="248"/>
      <c r="B457" s="248"/>
      <c r="C457" s="248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  <c r="N457" s="248"/>
      <c r="O457" s="249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  <c r="AA457" s="248"/>
    </row>
    <row r="458" ht="15.75" customHeight="1">
      <c r="A458" s="248"/>
      <c r="B458" s="248"/>
      <c r="C458" s="248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  <c r="N458" s="248"/>
      <c r="O458" s="249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  <c r="AA458" s="248"/>
    </row>
    <row r="459" ht="15.75" customHeight="1">
      <c r="A459" s="248"/>
      <c r="B459" s="248"/>
      <c r="C459" s="248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  <c r="N459" s="248"/>
      <c r="O459" s="249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  <c r="AA459" s="248"/>
    </row>
    <row r="460" ht="15.75" customHeight="1">
      <c r="A460" s="248"/>
      <c r="B460" s="248"/>
      <c r="C460" s="248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  <c r="N460" s="248"/>
      <c r="O460" s="249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  <c r="AA460" s="248"/>
    </row>
    <row r="461" ht="15.75" customHeight="1">
      <c r="A461" s="248"/>
      <c r="B461" s="248"/>
      <c r="C461" s="248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  <c r="N461" s="248"/>
      <c r="O461" s="249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  <c r="AA461" s="248"/>
    </row>
    <row r="462" ht="15.75" customHeight="1">
      <c r="A462" s="248"/>
      <c r="B462" s="248"/>
      <c r="C462" s="248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  <c r="N462" s="248"/>
      <c r="O462" s="249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  <c r="AA462" s="248"/>
    </row>
    <row r="463" ht="15.75" customHeight="1">
      <c r="A463" s="248"/>
      <c r="B463" s="248"/>
      <c r="C463" s="248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  <c r="N463" s="248"/>
      <c r="O463" s="249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  <c r="AA463" s="248"/>
    </row>
    <row r="464" ht="15.75" customHeight="1">
      <c r="A464" s="248"/>
      <c r="B464" s="248"/>
      <c r="C464" s="248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  <c r="N464" s="248"/>
      <c r="O464" s="249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  <c r="AA464" s="248"/>
    </row>
    <row r="465" ht="15.75" customHeight="1">
      <c r="A465" s="248"/>
      <c r="B465" s="248"/>
      <c r="C465" s="248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  <c r="N465" s="248"/>
      <c r="O465" s="249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  <c r="AA465" s="248"/>
    </row>
    <row r="466" ht="15.75" customHeight="1">
      <c r="A466" s="248"/>
      <c r="B466" s="248"/>
      <c r="C466" s="248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  <c r="N466" s="248"/>
      <c r="O466" s="249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  <c r="AA466" s="248"/>
    </row>
    <row r="467" ht="15.75" customHeight="1">
      <c r="A467" s="248"/>
      <c r="B467" s="248"/>
      <c r="C467" s="248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  <c r="N467" s="248"/>
      <c r="O467" s="249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  <c r="AA467" s="248"/>
    </row>
    <row r="468" ht="15.75" customHeight="1">
      <c r="A468" s="248"/>
      <c r="B468" s="248"/>
      <c r="C468" s="248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  <c r="N468" s="248"/>
      <c r="O468" s="249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  <c r="AA468" s="248"/>
    </row>
    <row r="469" ht="15.75" customHeight="1">
      <c r="A469" s="248"/>
      <c r="B469" s="248"/>
      <c r="C469" s="248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  <c r="N469" s="248"/>
      <c r="O469" s="249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  <c r="AA469" s="248"/>
    </row>
    <row r="470" ht="15.75" customHeight="1">
      <c r="A470" s="248"/>
      <c r="B470" s="248"/>
      <c r="C470" s="248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  <c r="N470" s="248"/>
      <c r="O470" s="249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  <c r="AA470" s="248"/>
    </row>
    <row r="471" ht="15.75" customHeight="1">
      <c r="A471" s="248"/>
      <c r="B471" s="248"/>
      <c r="C471" s="248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  <c r="N471" s="248"/>
      <c r="O471" s="249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  <c r="AA471" s="248"/>
    </row>
    <row r="472" ht="15.75" customHeight="1">
      <c r="A472" s="248"/>
      <c r="B472" s="248"/>
      <c r="C472" s="248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  <c r="N472" s="248"/>
      <c r="O472" s="249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  <c r="AA472" s="248"/>
    </row>
    <row r="473" ht="15.75" customHeight="1">
      <c r="A473" s="248"/>
      <c r="B473" s="248"/>
      <c r="C473" s="248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  <c r="N473" s="248"/>
      <c r="O473" s="249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  <c r="AA473" s="248"/>
    </row>
    <row r="474" ht="15.75" customHeight="1">
      <c r="A474" s="248"/>
      <c r="B474" s="248"/>
      <c r="C474" s="248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  <c r="N474" s="248"/>
      <c r="O474" s="249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  <c r="AA474" s="248"/>
    </row>
    <row r="475" ht="15.75" customHeight="1">
      <c r="A475" s="248"/>
      <c r="B475" s="248"/>
      <c r="C475" s="248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  <c r="N475" s="248"/>
      <c r="O475" s="249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  <c r="AA475" s="248"/>
    </row>
    <row r="476" ht="15.75" customHeight="1">
      <c r="A476" s="248"/>
      <c r="B476" s="248"/>
      <c r="C476" s="248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  <c r="N476" s="248"/>
      <c r="O476" s="249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  <c r="AA476" s="248"/>
    </row>
    <row r="477" ht="15.75" customHeight="1">
      <c r="A477" s="248"/>
      <c r="B477" s="248"/>
      <c r="C477" s="248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  <c r="N477" s="248"/>
      <c r="O477" s="249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  <c r="AA477" s="248"/>
    </row>
    <row r="478" ht="15.75" customHeight="1">
      <c r="A478" s="248"/>
      <c r="B478" s="248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9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  <c r="AA478" s="248"/>
    </row>
    <row r="479" ht="15.75" customHeight="1">
      <c r="A479" s="248"/>
      <c r="B479" s="248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48"/>
      <c r="O479" s="249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  <c r="AA479" s="248"/>
    </row>
    <row r="480" ht="15.75" customHeight="1">
      <c r="A480" s="248"/>
      <c r="B480" s="248"/>
      <c r="C480" s="248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  <c r="N480" s="248"/>
      <c r="O480" s="249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  <c r="AA480" s="248"/>
    </row>
    <row r="481" ht="15.75" customHeight="1">
      <c r="A481" s="248"/>
      <c r="B481" s="248"/>
      <c r="C481" s="248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  <c r="N481" s="248"/>
      <c r="O481" s="249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  <c r="AA481" s="248"/>
    </row>
    <row r="482" ht="15.75" customHeight="1">
      <c r="A482" s="248"/>
      <c r="B482" s="248"/>
      <c r="C482" s="248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  <c r="N482" s="248"/>
      <c r="O482" s="249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  <c r="AA482" s="248"/>
    </row>
    <row r="483" ht="15.75" customHeight="1">
      <c r="A483" s="248"/>
      <c r="B483" s="248"/>
      <c r="C483" s="248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  <c r="N483" s="248"/>
      <c r="O483" s="249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  <c r="AA483" s="248"/>
    </row>
    <row r="484" ht="15.75" customHeight="1">
      <c r="A484" s="248"/>
      <c r="B484" s="248"/>
      <c r="C484" s="248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  <c r="N484" s="248"/>
      <c r="O484" s="249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  <c r="AA484" s="248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0">
    <mergeCell ref="I2:J3"/>
    <mergeCell ref="K2:K5"/>
    <mergeCell ref="I4:I5"/>
    <mergeCell ref="J4:J5"/>
    <mergeCell ref="L2:L5"/>
    <mergeCell ref="M2:M5"/>
    <mergeCell ref="N2:N5"/>
    <mergeCell ref="P2:P5"/>
    <mergeCell ref="Q2:Q5"/>
    <mergeCell ref="R2:R5"/>
    <mergeCell ref="S2:S5"/>
    <mergeCell ref="T4:T5"/>
    <mergeCell ref="U4:U5"/>
    <mergeCell ref="T2:U3"/>
    <mergeCell ref="V2:V5"/>
    <mergeCell ref="W2:W5"/>
    <mergeCell ref="X2:X5"/>
    <mergeCell ref="Y2:Y5"/>
    <mergeCell ref="Z2:Z5"/>
    <mergeCell ref="AA2:AA5"/>
    <mergeCell ref="K1:L1"/>
    <mergeCell ref="A2:B3"/>
    <mergeCell ref="C2:D3"/>
    <mergeCell ref="E2:E5"/>
    <mergeCell ref="F2:F5"/>
    <mergeCell ref="G2:G5"/>
    <mergeCell ref="H2:H5"/>
    <mergeCell ref="A4:C4"/>
    <mergeCell ref="A5:C5"/>
    <mergeCell ref="A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A31:D31"/>
    <mergeCell ref="B32:D32"/>
    <mergeCell ref="B33:D33"/>
    <mergeCell ref="B34:D34"/>
    <mergeCell ref="B35:D35"/>
    <mergeCell ref="B36:D36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A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A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A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227:D227"/>
    <mergeCell ref="B228:D228"/>
    <mergeCell ref="B229:D229"/>
    <mergeCell ref="B230:D230"/>
    <mergeCell ref="B231:D231"/>
    <mergeCell ref="B232:D232"/>
    <mergeCell ref="A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83:D283"/>
    <mergeCell ref="E283:N289"/>
    <mergeCell ref="P283:W285"/>
    <mergeCell ref="Y283:Z285"/>
    <mergeCell ref="B264:D264"/>
    <mergeCell ref="B265:D265"/>
    <mergeCell ref="B266:D266"/>
    <mergeCell ref="B267:D267"/>
    <mergeCell ref="B268:D268"/>
    <mergeCell ref="B269:D269"/>
    <mergeCell ref="B270:D270"/>
    <mergeCell ref="B177:D177"/>
    <mergeCell ref="B178:D178"/>
    <mergeCell ref="B179:D179"/>
    <mergeCell ref="B180:D180"/>
    <mergeCell ref="B181:D181"/>
    <mergeCell ref="A184:D184"/>
    <mergeCell ref="B185:D185"/>
    <mergeCell ref="B186:D186"/>
    <mergeCell ref="B187:D187"/>
    <mergeCell ref="B188:D188"/>
    <mergeCell ref="B189:D189"/>
    <mergeCell ref="A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A211:D211"/>
    <mergeCell ref="B212:D212"/>
    <mergeCell ref="E212:G212"/>
    <mergeCell ref="P212:R212"/>
    <mergeCell ref="B202:D202"/>
    <mergeCell ref="B203:D203"/>
    <mergeCell ref="B204:D204"/>
    <mergeCell ref="B205:D205"/>
    <mergeCell ref="B206:D206"/>
    <mergeCell ref="B207:D207"/>
    <mergeCell ref="B208:D208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</mergeCells>
  <conditionalFormatting sqref="A2:B3">
    <cfRule type="notContainsBlanks" dxfId="0" priority="1">
      <formula>LEN(TRIM(A2))&gt;0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 outlineLevelCol="1"/>
  <cols>
    <col customWidth="1" min="1" max="1" width="2.43"/>
    <col customWidth="1" min="2" max="3" width="12.57"/>
    <col customWidth="1" min="4" max="4" width="9.14"/>
    <col customWidth="1" min="5" max="5" width="5.43"/>
    <col customWidth="1" min="6" max="6" width="7.14"/>
    <col customWidth="1" min="7" max="7" width="5.43"/>
    <col customWidth="1" min="8" max="8" width="11.14"/>
    <col customWidth="1" min="9" max="9" width="5.86"/>
    <col customWidth="1" min="10" max="11" width="11.14"/>
    <col customWidth="1" min="12" max="12" width="6.14"/>
    <col customWidth="1" min="13" max="13" width="11.14"/>
    <col customWidth="1" min="14" max="14" width="12.0"/>
    <col customWidth="1" min="15" max="15" width="7.14"/>
    <col customWidth="1" min="16" max="16" width="6.14"/>
    <col customWidth="1" min="17" max="17" width="6.86"/>
    <col customWidth="1" min="18" max="18" width="5.43"/>
    <col customWidth="1" min="19" max="19" width="11.14"/>
    <col customWidth="1" min="20" max="20" width="5.43"/>
    <col customWidth="1" min="21" max="21" width="11.14"/>
    <col customWidth="1" min="22" max="22" width="11.0"/>
    <col customWidth="1" min="23" max="23" width="5.86"/>
    <col customWidth="1" min="24" max="24" width="11.14"/>
    <col customWidth="1" min="25" max="27" width="11.14" outlineLevel="1"/>
  </cols>
  <sheetData>
    <row r="1">
      <c r="A1" s="1"/>
      <c r="B1" s="2"/>
      <c r="C1" s="3"/>
      <c r="D1" s="3"/>
      <c r="E1" s="3"/>
      <c r="F1" s="3"/>
      <c r="G1" s="3"/>
      <c r="H1" s="3"/>
      <c r="I1" s="3"/>
      <c r="J1" s="4"/>
      <c r="K1" s="4" t="s">
        <v>279</v>
      </c>
      <c r="L1" s="6"/>
      <c r="M1" s="251">
        <f>M281</f>
        <v>2639516.484</v>
      </c>
      <c r="N1" s="8"/>
      <c r="O1" s="252" t="s">
        <v>1</v>
      </c>
      <c r="P1" s="253" t="s">
        <v>2</v>
      </c>
      <c r="Q1" s="253"/>
      <c r="R1" s="254">
        <v>0.2</v>
      </c>
      <c r="S1" s="255" t="s">
        <v>3</v>
      </c>
      <c r="T1" s="256">
        <f>X284</f>
        <v>0.04288959471</v>
      </c>
      <c r="U1" s="255" t="s">
        <v>4</v>
      </c>
      <c r="V1" s="257">
        <f>X276</f>
        <v>2223151.648</v>
      </c>
      <c r="W1" s="258"/>
      <c r="X1" s="259" t="s">
        <v>5</v>
      </c>
      <c r="Y1" s="260">
        <f>AA284</f>
        <v>1</v>
      </c>
      <c r="Z1" s="261" t="s">
        <v>6</v>
      </c>
      <c r="AA1" s="262">
        <f>AA279</f>
        <v>0</v>
      </c>
    </row>
    <row r="2" ht="10.5" customHeight="1">
      <c r="A2" s="263"/>
      <c r="B2" s="21"/>
      <c r="C2" s="264" t="s">
        <v>7</v>
      </c>
      <c r="D2" s="21"/>
      <c r="E2" s="265" t="s">
        <v>8</v>
      </c>
      <c r="F2" s="265" t="s">
        <v>9</v>
      </c>
      <c r="G2" s="265" t="s">
        <v>10</v>
      </c>
      <c r="H2" s="265" t="s">
        <v>11</v>
      </c>
      <c r="I2" s="264" t="s">
        <v>12</v>
      </c>
      <c r="J2" s="21"/>
      <c r="K2" s="265" t="s">
        <v>13</v>
      </c>
      <c r="L2" s="265" t="s">
        <v>14</v>
      </c>
      <c r="M2" s="266" t="s">
        <v>15</v>
      </c>
      <c r="N2" s="264" t="s">
        <v>16</v>
      </c>
      <c r="O2" s="60"/>
      <c r="P2" s="267" t="s">
        <v>8</v>
      </c>
      <c r="Q2" s="268" t="s">
        <v>9</v>
      </c>
      <c r="R2" s="269" t="s">
        <v>10</v>
      </c>
      <c r="S2" s="269" t="s">
        <v>11</v>
      </c>
      <c r="T2" s="270" t="s">
        <v>12</v>
      </c>
      <c r="U2" s="30"/>
      <c r="V2" s="269" t="s">
        <v>17</v>
      </c>
      <c r="W2" s="269" t="s">
        <v>18</v>
      </c>
      <c r="X2" s="270" t="s">
        <v>19</v>
      </c>
      <c r="Y2" s="271" t="s">
        <v>20</v>
      </c>
      <c r="Z2" s="271" t="s">
        <v>21</v>
      </c>
      <c r="AA2" s="272" t="s">
        <v>22</v>
      </c>
    </row>
    <row r="3" ht="19.5" customHeight="1">
      <c r="A3" s="33"/>
      <c r="B3" s="34"/>
      <c r="C3" s="35"/>
      <c r="D3" s="36"/>
      <c r="E3" s="37"/>
      <c r="F3" s="37"/>
      <c r="G3" s="37"/>
      <c r="H3" s="37"/>
      <c r="I3" s="35"/>
      <c r="J3" s="36"/>
      <c r="K3" s="37"/>
      <c r="L3" s="37"/>
      <c r="M3" s="38"/>
      <c r="N3" s="39"/>
      <c r="O3" s="60"/>
      <c r="P3" s="34"/>
      <c r="Q3" s="40"/>
      <c r="R3" s="37"/>
      <c r="S3" s="37"/>
      <c r="T3" s="35"/>
      <c r="U3" s="36"/>
      <c r="V3" s="37"/>
      <c r="W3" s="37"/>
      <c r="X3" s="39"/>
      <c r="Y3" s="37"/>
      <c r="Z3" s="37"/>
      <c r="AA3" s="39"/>
    </row>
    <row r="4" ht="16.5" customHeight="1">
      <c r="A4" s="273" t="s">
        <v>23</v>
      </c>
      <c r="B4" s="42"/>
      <c r="C4" s="43"/>
      <c r="D4" s="274">
        <v>1.0</v>
      </c>
      <c r="E4" s="37"/>
      <c r="F4" s="37"/>
      <c r="G4" s="37"/>
      <c r="H4" s="37"/>
      <c r="I4" s="275" t="s">
        <v>24</v>
      </c>
      <c r="J4" s="275" t="s">
        <v>25</v>
      </c>
      <c r="K4" s="37"/>
      <c r="L4" s="37"/>
      <c r="M4" s="38"/>
      <c r="N4" s="39"/>
      <c r="O4" s="60"/>
      <c r="P4" s="34"/>
      <c r="Q4" s="40"/>
      <c r="R4" s="37"/>
      <c r="S4" s="37"/>
      <c r="T4" s="276" t="s">
        <v>24</v>
      </c>
      <c r="U4" s="276" t="s">
        <v>25</v>
      </c>
      <c r="V4" s="37"/>
      <c r="W4" s="37"/>
      <c r="X4" s="39"/>
      <c r="Y4" s="37"/>
      <c r="Z4" s="37"/>
      <c r="AA4" s="39"/>
    </row>
    <row r="5" ht="16.5" customHeight="1">
      <c r="A5" s="277" t="s">
        <v>26</v>
      </c>
      <c r="B5" s="48"/>
      <c r="C5" s="49"/>
      <c r="D5" s="278">
        <v>12.0</v>
      </c>
      <c r="E5" s="51"/>
      <c r="F5" s="51"/>
      <c r="G5" s="51"/>
      <c r="H5" s="51"/>
      <c r="I5" s="51"/>
      <c r="J5" s="51"/>
      <c r="K5" s="51"/>
      <c r="L5" s="51"/>
      <c r="M5" s="52"/>
      <c r="N5" s="53"/>
      <c r="O5" s="60"/>
      <c r="P5" s="54"/>
      <c r="Q5" s="55"/>
      <c r="R5" s="51"/>
      <c r="S5" s="51"/>
      <c r="T5" s="51"/>
      <c r="U5" s="51"/>
      <c r="V5" s="51"/>
      <c r="W5" s="51"/>
      <c r="X5" s="53"/>
      <c r="Y5" s="51"/>
      <c r="Z5" s="51"/>
      <c r="AA5" s="53"/>
    </row>
    <row r="6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  <c r="N6" s="59"/>
      <c r="O6" s="60"/>
      <c r="P6" s="56"/>
      <c r="Q6" s="56"/>
      <c r="R6" s="57"/>
      <c r="S6" s="57"/>
      <c r="T6" s="57"/>
      <c r="U6" s="57"/>
      <c r="V6" s="57"/>
      <c r="W6" s="57"/>
      <c r="X6" s="58"/>
      <c r="Y6" s="58"/>
      <c r="Z6" s="59"/>
      <c r="AA6" s="59"/>
    </row>
    <row r="7">
      <c r="A7" s="140" t="s">
        <v>27</v>
      </c>
      <c r="B7" s="62"/>
      <c r="C7" s="62"/>
      <c r="D7" s="63"/>
      <c r="E7" s="279"/>
      <c r="F7" s="64"/>
      <c r="G7" s="279"/>
      <c r="H7" s="279"/>
      <c r="I7" s="279"/>
      <c r="J7" s="279"/>
      <c r="K7" s="279"/>
      <c r="L7" s="279"/>
      <c r="M7" s="65"/>
      <c r="N7" s="140"/>
      <c r="O7" s="60"/>
      <c r="P7" s="67"/>
      <c r="Q7" s="67"/>
      <c r="R7" s="64"/>
      <c r="S7" s="64"/>
      <c r="T7" s="64"/>
      <c r="U7" s="64"/>
      <c r="V7" s="64"/>
      <c r="W7" s="64"/>
      <c r="X7" s="65"/>
      <c r="Y7" s="65"/>
      <c r="Z7" s="65"/>
      <c r="AA7" s="65"/>
    </row>
    <row r="8">
      <c r="A8" s="280"/>
      <c r="B8" s="281" t="s">
        <v>28</v>
      </c>
      <c r="C8" s="42"/>
      <c r="D8" s="43"/>
      <c r="E8" s="282">
        <v>1.0</v>
      </c>
      <c r="F8" s="283" t="s">
        <v>29</v>
      </c>
      <c r="G8" s="284">
        <v>1.0</v>
      </c>
      <c r="H8" s="285"/>
      <c r="I8" s="285"/>
      <c r="J8" s="285"/>
      <c r="K8" s="286">
        <f t="shared" ref="K8:K17" si="1">(E8*G8*H8)+(I8*J8*E8*G8)</f>
        <v>0</v>
      </c>
      <c r="L8" s="287">
        <v>0.09</v>
      </c>
      <c r="M8" s="288">
        <f t="shared" ref="M8:M17" si="2">K8/(1-L8)</f>
        <v>0</v>
      </c>
      <c r="N8" s="289"/>
      <c r="O8" s="60"/>
      <c r="P8" s="284">
        <v>1.0</v>
      </c>
      <c r="Q8" s="283" t="s">
        <v>29</v>
      </c>
      <c r="R8" s="284">
        <v>1.0</v>
      </c>
      <c r="S8" s="284"/>
      <c r="T8" s="284"/>
      <c r="U8" s="284"/>
      <c r="V8" s="290">
        <f t="shared" ref="V8:V17" si="3">(P8*R8*S8)+(T8*U8*P8*R8)</f>
        <v>0</v>
      </c>
      <c r="W8" s="291">
        <v>0.09</v>
      </c>
      <c r="X8" s="292">
        <f t="shared" ref="X8:X17" si="4">V8/(1-W8)</f>
        <v>0</v>
      </c>
      <c r="Y8" s="290">
        <v>0.0</v>
      </c>
      <c r="Z8" s="291">
        <v>0.09</v>
      </c>
      <c r="AA8" s="292">
        <f t="shared" ref="AA8:AA17" si="5">Y8/(1-Z8)</f>
        <v>0</v>
      </c>
    </row>
    <row r="9">
      <c r="A9" s="293"/>
      <c r="B9" s="281" t="s">
        <v>30</v>
      </c>
      <c r="C9" s="42"/>
      <c r="D9" s="43"/>
      <c r="E9" s="294">
        <v>1.0</v>
      </c>
      <c r="F9" s="283" t="s">
        <v>29</v>
      </c>
      <c r="G9" s="250">
        <v>1.0</v>
      </c>
      <c r="H9" s="285"/>
      <c r="I9" s="285"/>
      <c r="J9" s="285"/>
      <c r="K9" s="286">
        <f t="shared" si="1"/>
        <v>0</v>
      </c>
      <c r="L9" s="287">
        <v>0.09</v>
      </c>
      <c r="M9" s="288">
        <f t="shared" si="2"/>
        <v>0</v>
      </c>
      <c r="N9" s="187"/>
      <c r="O9" s="60"/>
      <c r="P9" s="250">
        <v>1.0</v>
      </c>
      <c r="Q9" s="283" t="s">
        <v>29</v>
      </c>
      <c r="R9" s="250">
        <v>1.0</v>
      </c>
      <c r="S9" s="250"/>
      <c r="T9" s="250"/>
      <c r="U9" s="250"/>
      <c r="V9" s="290">
        <f t="shared" si="3"/>
        <v>0</v>
      </c>
      <c r="W9" s="291">
        <v>0.09</v>
      </c>
      <c r="X9" s="292">
        <f t="shared" si="4"/>
        <v>0</v>
      </c>
      <c r="Y9" s="290">
        <v>0.0</v>
      </c>
      <c r="Z9" s="291">
        <v>0.09</v>
      </c>
      <c r="AA9" s="292">
        <f t="shared" si="5"/>
        <v>0</v>
      </c>
    </row>
    <row r="10">
      <c r="A10" s="293"/>
      <c r="B10" s="281" t="s">
        <v>31</v>
      </c>
      <c r="C10" s="42"/>
      <c r="D10" s="43"/>
      <c r="E10" s="294">
        <v>1.0</v>
      </c>
      <c r="F10" s="283" t="s">
        <v>29</v>
      </c>
      <c r="G10" s="250">
        <v>1.0</v>
      </c>
      <c r="H10" s="285"/>
      <c r="I10" s="285"/>
      <c r="J10" s="285"/>
      <c r="K10" s="286">
        <f t="shared" si="1"/>
        <v>0</v>
      </c>
      <c r="L10" s="287">
        <v>0.09</v>
      </c>
      <c r="M10" s="288">
        <f t="shared" si="2"/>
        <v>0</v>
      </c>
      <c r="N10" s="187"/>
      <c r="O10" s="60"/>
      <c r="P10" s="250">
        <v>1.0</v>
      </c>
      <c r="Q10" s="283" t="s">
        <v>29</v>
      </c>
      <c r="R10" s="250">
        <v>1.0</v>
      </c>
      <c r="S10" s="250">
        <v>30000.0</v>
      </c>
      <c r="T10" s="250"/>
      <c r="U10" s="250"/>
      <c r="V10" s="290">
        <f t="shared" si="3"/>
        <v>30000</v>
      </c>
      <c r="W10" s="291">
        <v>0.09</v>
      </c>
      <c r="X10" s="292">
        <f t="shared" si="4"/>
        <v>32967.03297</v>
      </c>
      <c r="Y10" s="290">
        <v>0.0</v>
      </c>
      <c r="Z10" s="291">
        <v>0.09</v>
      </c>
      <c r="AA10" s="292">
        <f t="shared" si="5"/>
        <v>0</v>
      </c>
    </row>
    <row r="11">
      <c r="A11" s="293"/>
      <c r="B11" s="281" t="s">
        <v>280</v>
      </c>
      <c r="C11" s="42"/>
      <c r="D11" s="43"/>
      <c r="E11" s="294">
        <v>1.0</v>
      </c>
      <c r="F11" s="283" t="s">
        <v>29</v>
      </c>
      <c r="G11" s="250">
        <v>1.0</v>
      </c>
      <c r="H11" s="285"/>
      <c r="I11" s="285"/>
      <c r="J11" s="285"/>
      <c r="K11" s="286">
        <f t="shared" si="1"/>
        <v>0</v>
      </c>
      <c r="L11" s="287">
        <v>0.09</v>
      </c>
      <c r="M11" s="288">
        <f t="shared" si="2"/>
        <v>0</v>
      </c>
      <c r="N11" s="187"/>
      <c r="O11" s="60"/>
      <c r="P11" s="250">
        <v>1.0</v>
      </c>
      <c r="Q11" s="283" t="s">
        <v>29</v>
      </c>
      <c r="R11" s="250">
        <v>1.0</v>
      </c>
      <c r="S11" s="250"/>
      <c r="T11" s="250"/>
      <c r="U11" s="250"/>
      <c r="V11" s="290">
        <f t="shared" si="3"/>
        <v>0</v>
      </c>
      <c r="W11" s="291">
        <v>0.09</v>
      </c>
      <c r="X11" s="292">
        <f t="shared" si="4"/>
        <v>0</v>
      </c>
      <c r="Y11" s="290">
        <v>0.0</v>
      </c>
      <c r="Z11" s="291">
        <v>0.09</v>
      </c>
      <c r="AA11" s="292">
        <f t="shared" si="5"/>
        <v>0</v>
      </c>
    </row>
    <row r="12">
      <c r="A12" s="293"/>
      <c r="B12" s="281" t="s">
        <v>33</v>
      </c>
      <c r="C12" s="42"/>
      <c r="D12" s="43"/>
      <c r="E12" s="294">
        <v>1.0</v>
      </c>
      <c r="F12" s="283" t="s">
        <v>34</v>
      </c>
      <c r="G12" s="250">
        <v>1.0</v>
      </c>
      <c r="H12" s="285"/>
      <c r="I12" s="285"/>
      <c r="J12" s="285"/>
      <c r="K12" s="286">
        <f t="shared" si="1"/>
        <v>0</v>
      </c>
      <c r="L12" s="287">
        <v>0.09</v>
      </c>
      <c r="M12" s="288">
        <f t="shared" si="2"/>
        <v>0</v>
      </c>
      <c r="N12" s="187"/>
      <c r="O12" s="60"/>
      <c r="P12" s="250">
        <v>1.0</v>
      </c>
      <c r="Q12" s="283" t="s">
        <v>34</v>
      </c>
      <c r="R12" s="250">
        <v>1.0</v>
      </c>
      <c r="S12" s="250"/>
      <c r="T12" s="250"/>
      <c r="U12" s="250"/>
      <c r="V12" s="290">
        <f t="shared" si="3"/>
        <v>0</v>
      </c>
      <c r="W12" s="291">
        <v>0.09</v>
      </c>
      <c r="X12" s="292">
        <f t="shared" si="4"/>
        <v>0</v>
      </c>
      <c r="Y12" s="290">
        <v>0.0</v>
      </c>
      <c r="Z12" s="291">
        <v>0.09</v>
      </c>
      <c r="AA12" s="292">
        <f t="shared" si="5"/>
        <v>0</v>
      </c>
    </row>
    <row r="13">
      <c r="A13" s="293"/>
      <c r="B13" s="281" t="s">
        <v>35</v>
      </c>
      <c r="C13" s="42"/>
      <c r="D13" s="43"/>
      <c r="E13" s="294">
        <v>1.0</v>
      </c>
      <c r="F13" s="283" t="s">
        <v>29</v>
      </c>
      <c r="G13" s="250">
        <v>1.0</v>
      </c>
      <c r="H13" s="285"/>
      <c r="I13" s="285"/>
      <c r="J13" s="285"/>
      <c r="K13" s="286">
        <f t="shared" si="1"/>
        <v>0</v>
      </c>
      <c r="L13" s="287">
        <v>0.09</v>
      </c>
      <c r="M13" s="288">
        <f t="shared" si="2"/>
        <v>0</v>
      </c>
      <c r="N13" s="187"/>
      <c r="O13" s="60"/>
      <c r="P13" s="250">
        <v>1.0</v>
      </c>
      <c r="Q13" s="283" t="s">
        <v>29</v>
      </c>
      <c r="R13" s="250">
        <v>1.0</v>
      </c>
      <c r="S13" s="250"/>
      <c r="T13" s="250"/>
      <c r="U13" s="250"/>
      <c r="V13" s="290">
        <f t="shared" si="3"/>
        <v>0</v>
      </c>
      <c r="W13" s="291">
        <v>0.09</v>
      </c>
      <c r="X13" s="292">
        <f t="shared" si="4"/>
        <v>0</v>
      </c>
      <c r="Y13" s="290">
        <v>0.0</v>
      </c>
      <c r="Z13" s="291">
        <v>0.09</v>
      </c>
      <c r="AA13" s="292">
        <f t="shared" si="5"/>
        <v>0</v>
      </c>
    </row>
    <row r="14">
      <c r="A14" s="293"/>
      <c r="B14" s="281" t="s">
        <v>36</v>
      </c>
      <c r="C14" s="42"/>
      <c r="D14" s="43"/>
      <c r="E14" s="294">
        <v>1.0</v>
      </c>
      <c r="F14" s="283" t="s">
        <v>29</v>
      </c>
      <c r="G14" s="250">
        <v>1.0</v>
      </c>
      <c r="H14" s="285"/>
      <c r="I14" s="285"/>
      <c r="J14" s="285"/>
      <c r="K14" s="286">
        <f t="shared" si="1"/>
        <v>0</v>
      </c>
      <c r="L14" s="287">
        <v>0.09</v>
      </c>
      <c r="M14" s="288">
        <f t="shared" si="2"/>
        <v>0</v>
      </c>
      <c r="N14" s="187"/>
      <c r="O14" s="60"/>
      <c r="P14" s="250">
        <v>1.0</v>
      </c>
      <c r="Q14" s="283" t="s">
        <v>29</v>
      </c>
      <c r="R14" s="250">
        <v>1.0</v>
      </c>
      <c r="S14" s="250"/>
      <c r="T14" s="250"/>
      <c r="U14" s="250"/>
      <c r="V14" s="290">
        <f t="shared" si="3"/>
        <v>0</v>
      </c>
      <c r="W14" s="291">
        <v>0.09</v>
      </c>
      <c r="X14" s="292">
        <f t="shared" si="4"/>
        <v>0</v>
      </c>
      <c r="Y14" s="290">
        <v>0.0</v>
      </c>
      <c r="Z14" s="291">
        <v>0.09</v>
      </c>
      <c r="AA14" s="292">
        <f t="shared" si="5"/>
        <v>0</v>
      </c>
    </row>
    <row r="15">
      <c r="A15" s="293"/>
      <c r="B15" s="281" t="s">
        <v>37</v>
      </c>
      <c r="C15" s="42"/>
      <c r="D15" s="43"/>
      <c r="E15" s="294">
        <v>1.0</v>
      </c>
      <c r="F15" s="283" t="s">
        <v>29</v>
      </c>
      <c r="G15" s="250">
        <v>1.0</v>
      </c>
      <c r="H15" s="285"/>
      <c r="I15" s="285"/>
      <c r="J15" s="285"/>
      <c r="K15" s="286">
        <f t="shared" si="1"/>
        <v>0</v>
      </c>
      <c r="L15" s="287">
        <v>0.09</v>
      </c>
      <c r="M15" s="288">
        <f t="shared" si="2"/>
        <v>0</v>
      </c>
      <c r="N15" s="187"/>
      <c r="O15" s="60"/>
      <c r="P15" s="250">
        <v>1.0</v>
      </c>
      <c r="Q15" s="283" t="s">
        <v>29</v>
      </c>
      <c r="R15" s="250">
        <v>1.0</v>
      </c>
      <c r="S15" s="250"/>
      <c r="T15" s="250"/>
      <c r="U15" s="250"/>
      <c r="V15" s="290">
        <f t="shared" si="3"/>
        <v>0</v>
      </c>
      <c r="W15" s="291">
        <v>0.09</v>
      </c>
      <c r="X15" s="292">
        <f t="shared" si="4"/>
        <v>0</v>
      </c>
      <c r="Y15" s="290">
        <v>0.0</v>
      </c>
      <c r="Z15" s="291">
        <v>0.09</v>
      </c>
      <c r="AA15" s="292">
        <f t="shared" si="5"/>
        <v>0</v>
      </c>
    </row>
    <row r="16">
      <c r="A16" s="293"/>
      <c r="B16" s="281" t="s">
        <v>38</v>
      </c>
      <c r="C16" s="42"/>
      <c r="D16" s="43"/>
      <c r="E16" s="294">
        <v>1.0</v>
      </c>
      <c r="F16" s="283" t="s">
        <v>29</v>
      </c>
      <c r="G16" s="250">
        <v>1.0</v>
      </c>
      <c r="H16" s="285"/>
      <c r="I16" s="285"/>
      <c r="J16" s="285"/>
      <c r="K16" s="286">
        <f t="shared" si="1"/>
        <v>0</v>
      </c>
      <c r="L16" s="287">
        <v>0.09</v>
      </c>
      <c r="M16" s="288">
        <f t="shared" si="2"/>
        <v>0</v>
      </c>
      <c r="N16" s="187"/>
      <c r="O16" s="60"/>
      <c r="P16" s="250">
        <v>1.0</v>
      </c>
      <c r="Q16" s="283" t="s">
        <v>29</v>
      </c>
      <c r="R16" s="250">
        <v>1.0</v>
      </c>
      <c r="S16" s="250"/>
      <c r="T16" s="250"/>
      <c r="U16" s="250"/>
      <c r="V16" s="290">
        <f t="shared" si="3"/>
        <v>0</v>
      </c>
      <c r="W16" s="291">
        <v>0.09</v>
      </c>
      <c r="X16" s="292">
        <f t="shared" si="4"/>
        <v>0</v>
      </c>
      <c r="Y16" s="290">
        <v>0.0</v>
      </c>
      <c r="Z16" s="291">
        <v>0.09</v>
      </c>
      <c r="AA16" s="292">
        <f t="shared" si="5"/>
        <v>0</v>
      </c>
    </row>
    <row r="17">
      <c r="A17" s="293"/>
      <c r="B17" s="281" t="s">
        <v>39</v>
      </c>
      <c r="C17" s="42"/>
      <c r="D17" s="43"/>
      <c r="E17" s="294">
        <v>1.0</v>
      </c>
      <c r="F17" s="283" t="s">
        <v>29</v>
      </c>
      <c r="G17" s="250">
        <v>1.0</v>
      </c>
      <c r="H17" s="285"/>
      <c r="I17" s="285"/>
      <c r="J17" s="285"/>
      <c r="K17" s="286">
        <f t="shared" si="1"/>
        <v>0</v>
      </c>
      <c r="L17" s="287">
        <v>0.09</v>
      </c>
      <c r="M17" s="288">
        <f t="shared" si="2"/>
        <v>0</v>
      </c>
      <c r="N17" s="187"/>
      <c r="O17" s="60"/>
      <c r="P17" s="250">
        <v>1.0</v>
      </c>
      <c r="Q17" s="283" t="s">
        <v>29</v>
      </c>
      <c r="R17" s="250">
        <v>1.0</v>
      </c>
      <c r="S17" s="250"/>
      <c r="T17" s="250"/>
      <c r="U17" s="250"/>
      <c r="V17" s="290">
        <f t="shared" si="3"/>
        <v>0</v>
      </c>
      <c r="W17" s="291">
        <v>0.09</v>
      </c>
      <c r="X17" s="292">
        <f t="shared" si="4"/>
        <v>0</v>
      </c>
      <c r="Y17" s="290">
        <v>0.0</v>
      </c>
      <c r="Z17" s="291">
        <v>0.09</v>
      </c>
      <c r="AA17" s="292">
        <f t="shared" si="5"/>
        <v>0</v>
      </c>
    </row>
    <row r="18">
      <c r="A18" s="295"/>
      <c r="B18" s="296"/>
      <c r="C18" s="296"/>
      <c r="D18" s="297"/>
      <c r="E18" s="298"/>
      <c r="F18" s="299"/>
      <c r="G18" s="300"/>
      <c r="H18" s="301"/>
      <c r="I18" s="302"/>
      <c r="J18" s="302"/>
      <c r="K18" s="302"/>
      <c r="L18" s="303" t="s">
        <v>40</v>
      </c>
      <c r="M18" s="304">
        <f>SUM(M8:M17)</f>
        <v>0</v>
      </c>
      <c r="N18" s="305"/>
      <c r="O18" s="60"/>
      <c r="P18" s="306"/>
      <c r="Q18" s="299"/>
      <c r="R18" s="300"/>
      <c r="S18" s="300"/>
      <c r="T18" s="307"/>
      <c r="U18" s="307"/>
      <c r="V18" s="307"/>
      <c r="W18" s="308" t="s">
        <v>40</v>
      </c>
      <c r="X18" s="304">
        <f>SUM(X8:X17)</f>
        <v>32967.03297</v>
      </c>
      <c r="Y18" s="304"/>
      <c r="Z18" s="308" t="s">
        <v>40</v>
      </c>
      <c r="AA18" s="304">
        <f>SUM(AA8:AA17)</f>
        <v>0</v>
      </c>
    </row>
    <row r="19" ht="9.75" customHeight="1">
      <c r="A19" s="134"/>
      <c r="B19" s="134"/>
      <c r="C19" s="134"/>
      <c r="D19" s="134"/>
      <c r="E19" s="97"/>
      <c r="F19" s="98"/>
      <c r="G19" s="99"/>
      <c r="H19" s="99"/>
      <c r="I19" s="99"/>
      <c r="J19" s="99"/>
      <c r="K19" s="99"/>
      <c r="L19" s="99"/>
      <c r="M19" s="100"/>
      <c r="N19" s="101"/>
      <c r="O19" s="60"/>
      <c r="P19" s="98"/>
      <c r="Q19" s="98"/>
      <c r="R19" s="99"/>
      <c r="S19" s="99"/>
      <c r="T19" s="99"/>
      <c r="U19" s="99"/>
      <c r="V19" s="99"/>
      <c r="W19" s="99"/>
      <c r="X19" s="100"/>
      <c r="Y19" s="102"/>
      <c r="Z19" s="99"/>
      <c r="AA19" s="102"/>
    </row>
    <row r="20">
      <c r="A20" s="140" t="s">
        <v>41</v>
      </c>
      <c r="B20" s="62"/>
      <c r="C20" s="62"/>
      <c r="D20" s="63"/>
      <c r="E20" s="103"/>
      <c r="F20" s="67"/>
      <c r="G20" s="64"/>
      <c r="H20" s="64"/>
      <c r="I20" s="64"/>
      <c r="J20" s="64"/>
      <c r="K20" s="64"/>
      <c r="L20" s="64"/>
      <c r="M20" s="65"/>
      <c r="N20" s="104"/>
      <c r="O20" s="60"/>
      <c r="P20" s="67"/>
      <c r="Q20" s="67"/>
      <c r="R20" s="64"/>
      <c r="S20" s="64"/>
      <c r="T20" s="64"/>
      <c r="U20" s="64"/>
      <c r="V20" s="64"/>
      <c r="W20" s="64"/>
      <c r="X20" s="65"/>
      <c r="Y20" s="65"/>
      <c r="Z20" s="64"/>
      <c r="AA20" s="65"/>
    </row>
    <row r="21" ht="15.75" customHeight="1">
      <c r="A21" s="309"/>
      <c r="B21" s="310" t="s">
        <v>42</v>
      </c>
      <c r="C21" s="107"/>
      <c r="D21" s="108"/>
      <c r="E21" s="109"/>
      <c r="F21" s="110"/>
      <c r="G21" s="111"/>
      <c r="H21" s="111"/>
      <c r="I21" s="111"/>
      <c r="J21" s="111"/>
      <c r="K21" s="111"/>
      <c r="L21" s="111"/>
      <c r="M21" s="112"/>
      <c r="N21" s="113"/>
      <c r="O21" s="60"/>
      <c r="P21" s="110"/>
      <c r="Q21" s="110"/>
      <c r="R21" s="111"/>
      <c r="S21" s="111"/>
      <c r="T21" s="111"/>
      <c r="U21" s="111"/>
      <c r="V21" s="111"/>
      <c r="W21" s="111"/>
      <c r="X21" s="112"/>
      <c r="Y21" s="112"/>
      <c r="Z21" s="111"/>
      <c r="AA21" s="112"/>
    </row>
    <row r="22" ht="15.75" customHeight="1">
      <c r="A22" s="311"/>
      <c r="B22" s="281" t="s">
        <v>43</v>
      </c>
      <c r="C22" s="42"/>
      <c r="D22" s="43"/>
      <c r="E22" s="312">
        <v>1.0</v>
      </c>
      <c r="F22" s="283" t="s">
        <v>29</v>
      </c>
      <c r="G22" s="313">
        <v>1.0</v>
      </c>
      <c r="H22" s="313"/>
      <c r="I22" s="313"/>
      <c r="J22" s="313"/>
      <c r="K22" s="290">
        <f t="shared" ref="K22:K23" si="6">(E22*G22*H22)+(I22*J22*E22*G22)</f>
        <v>0</v>
      </c>
      <c r="L22" s="291">
        <v>0.09</v>
      </c>
      <c r="M22" s="292">
        <f t="shared" ref="M22:M23" si="7">K22/(1-L22)</f>
        <v>0</v>
      </c>
      <c r="N22" s="187"/>
      <c r="O22" s="60"/>
      <c r="P22" s="312">
        <v>1.0</v>
      </c>
      <c r="Q22" s="283" t="s">
        <v>29</v>
      </c>
      <c r="R22" s="313">
        <v>1.0</v>
      </c>
      <c r="S22" s="313"/>
      <c r="T22" s="313"/>
      <c r="U22" s="313"/>
      <c r="V22" s="290">
        <f t="shared" ref="V22:V23" si="8">(P22*R22*S22)+(T22*U22*P22*R22)</f>
        <v>0</v>
      </c>
      <c r="W22" s="291">
        <v>0.09</v>
      </c>
      <c r="X22" s="292">
        <f t="shared" ref="X22:X23" si="9">V22/(1-W22)</f>
        <v>0</v>
      </c>
      <c r="Y22" s="290">
        <v>0.0</v>
      </c>
      <c r="Z22" s="291">
        <v>0.09</v>
      </c>
      <c r="AA22" s="292">
        <f t="shared" ref="AA22:AA23" si="10">Y22/(1-Z22)</f>
        <v>0</v>
      </c>
    </row>
    <row r="23" ht="15.75" customHeight="1">
      <c r="A23" s="295"/>
      <c r="B23" s="281" t="s">
        <v>44</v>
      </c>
      <c r="C23" s="42"/>
      <c r="D23" s="43"/>
      <c r="E23" s="312">
        <v>1.0</v>
      </c>
      <c r="F23" s="312" t="s">
        <v>45</v>
      </c>
      <c r="G23" s="313">
        <v>1.0</v>
      </c>
      <c r="H23" s="313"/>
      <c r="I23" s="313"/>
      <c r="J23" s="313"/>
      <c r="K23" s="290">
        <f t="shared" si="6"/>
        <v>0</v>
      </c>
      <c r="L23" s="291">
        <v>0.09</v>
      </c>
      <c r="M23" s="292">
        <f t="shared" si="7"/>
        <v>0</v>
      </c>
      <c r="N23" s="187"/>
      <c r="O23" s="60"/>
      <c r="P23" s="312">
        <v>1.0</v>
      </c>
      <c r="Q23" s="312" t="s">
        <v>45</v>
      </c>
      <c r="R23" s="313">
        <v>1.0</v>
      </c>
      <c r="S23" s="313"/>
      <c r="T23" s="313"/>
      <c r="U23" s="313"/>
      <c r="V23" s="290">
        <f t="shared" si="8"/>
        <v>0</v>
      </c>
      <c r="W23" s="291">
        <v>0.09</v>
      </c>
      <c r="X23" s="292">
        <f t="shared" si="9"/>
        <v>0</v>
      </c>
      <c r="Y23" s="290">
        <v>0.0</v>
      </c>
      <c r="Z23" s="291">
        <v>0.09</v>
      </c>
      <c r="AA23" s="292">
        <f t="shared" si="10"/>
        <v>0</v>
      </c>
    </row>
    <row r="24" ht="15.75" customHeight="1">
      <c r="A24" s="314"/>
      <c r="B24" s="315" t="s">
        <v>46</v>
      </c>
      <c r="C24" s="120"/>
      <c r="D24" s="121"/>
      <c r="E24" s="159"/>
      <c r="F24" s="160"/>
      <c r="G24" s="161"/>
      <c r="H24" s="161"/>
      <c r="I24" s="161"/>
      <c r="J24" s="161"/>
      <c r="K24" s="161"/>
      <c r="L24" s="161"/>
      <c r="M24" s="162"/>
      <c r="N24" s="163"/>
      <c r="O24" s="60"/>
      <c r="P24" s="160"/>
      <c r="Q24" s="160"/>
      <c r="R24" s="161"/>
      <c r="S24" s="161"/>
      <c r="T24" s="161"/>
      <c r="U24" s="161"/>
      <c r="V24" s="161"/>
      <c r="W24" s="161"/>
      <c r="X24" s="162"/>
      <c r="Y24" s="162"/>
      <c r="Z24" s="161"/>
      <c r="AA24" s="162"/>
    </row>
    <row r="25" ht="15.75" customHeight="1">
      <c r="A25" s="293"/>
      <c r="B25" s="281" t="s">
        <v>47</v>
      </c>
      <c r="C25" s="42"/>
      <c r="D25" s="43"/>
      <c r="E25" s="316">
        <v>1.0</v>
      </c>
      <c r="F25" s="283" t="s">
        <v>29</v>
      </c>
      <c r="G25" s="317">
        <v>1.0</v>
      </c>
      <c r="H25" s="317"/>
      <c r="I25" s="317"/>
      <c r="J25" s="317"/>
      <c r="K25" s="290">
        <f t="shared" ref="K25:K28" si="11">(E25*G25*H25)+(I25*J25*E25*G25)</f>
        <v>0</v>
      </c>
      <c r="L25" s="291">
        <v>0.09</v>
      </c>
      <c r="M25" s="292">
        <f t="shared" ref="M25:M28" si="12">K25/(1-L25)</f>
        <v>0</v>
      </c>
      <c r="N25" s="187"/>
      <c r="O25" s="60"/>
      <c r="P25" s="317">
        <v>1.0</v>
      </c>
      <c r="Q25" s="283" t="s">
        <v>29</v>
      </c>
      <c r="R25" s="317">
        <v>1.0</v>
      </c>
      <c r="S25" s="317"/>
      <c r="T25" s="317"/>
      <c r="U25" s="317"/>
      <c r="V25" s="290">
        <f t="shared" ref="V25:V28" si="13">(P25*R25*S25)+(T25*U25*P25*R25)</f>
        <v>0</v>
      </c>
      <c r="W25" s="291">
        <v>0.09</v>
      </c>
      <c r="X25" s="292">
        <f t="shared" ref="X25:X28" si="14">V25/(1-W25)</f>
        <v>0</v>
      </c>
      <c r="Y25" s="290">
        <v>0.0</v>
      </c>
      <c r="Z25" s="291">
        <v>0.09</v>
      </c>
      <c r="AA25" s="292">
        <f t="shared" ref="AA25:AA28" si="15">Y25/(1-Z25)</f>
        <v>0</v>
      </c>
    </row>
    <row r="26" ht="15.75" customHeight="1">
      <c r="A26" s="293"/>
      <c r="B26" s="281" t="s">
        <v>48</v>
      </c>
      <c r="C26" s="42"/>
      <c r="D26" s="43"/>
      <c r="E26" s="294">
        <v>1.0</v>
      </c>
      <c r="F26" s="318" t="s">
        <v>49</v>
      </c>
      <c r="G26" s="250">
        <v>1.0</v>
      </c>
      <c r="H26" s="250"/>
      <c r="I26" s="319"/>
      <c r="J26" s="319"/>
      <c r="K26" s="290">
        <f t="shared" si="11"/>
        <v>0</v>
      </c>
      <c r="L26" s="291">
        <v>0.09</v>
      </c>
      <c r="M26" s="292">
        <f t="shared" si="12"/>
        <v>0</v>
      </c>
      <c r="N26" s="187"/>
      <c r="O26" s="60"/>
      <c r="P26" s="250">
        <v>1.0</v>
      </c>
      <c r="Q26" s="318" t="s">
        <v>49</v>
      </c>
      <c r="R26" s="250">
        <v>1.0</v>
      </c>
      <c r="S26" s="250"/>
      <c r="T26" s="319"/>
      <c r="U26" s="319"/>
      <c r="V26" s="290">
        <f t="shared" si="13"/>
        <v>0</v>
      </c>
      <c r="W26" s="291">
        <v>0.09</v>
      </c>
      <c r="X26" s="292">
        <f t="shared" si="14"/>
        <v>0</v>
      </c>
      <c r="Y26" s="290">
        <v>0.0</v>
      </c>
      <c r="Z26" s="291">
        <v>0.09</v>
      </c>
      <c r="AA26" s="292">
        <f t="shared" si="15"/>
        <v>0</v>
      </c>
    </row>
    <row r="27" ht="15.75" customHeight="1">
      <c r="A27" s="293"/>
      <c r="B27" s="281" t="s">
        <v>50</v>
      </c>
      <c r="C27" s="42"/>
      <c r="D27" s="43"/>
      <c r="E27" s="294">
        <v>1.0</v>
      </c>
      <c r="F27" s="318" t="s">
        <v>49</v>
      </c>
      <c r="G27" s="250">
        <v>1.0</v>
      </c>
      <c r="H27" s="250"/>
      <c r="I27" s="250"/>
      <c r="J27" s="250"/>
      <c r="K27" s="290">
        <f t="shared" si="11"/>
        <v>0</v>
      </c>
      <c r="L27" s="291">
        <v>0.09</v>
      </c>
      <c r="M27" s="292">
        <f t="shared" si="12"/>
        <v>0</v>
      </c>
      <c r="N27" s="187"/>
      <c r="O27" s="60"/>
      <c r="P27" s="250">
        <v>1.0</v>
      </c>
      <c r="Q27" s="318" t="s">
        <v>49</v>
      </c>
      <c r="R27" s="250">
        <v>1.0</v>
      </c>
      <c r="S27" s="250"/>
      <c r="T27" s="250"/>
      <c r="U27" s="250"/>
      <c r="V27" s="290">
        <f t="shared" si="13"/>
        <v>0</v>
      </c>
      <c r="W27" s="291">
        <v>0.09</v>
      </c>
      <c r="X27" s="292">
        <f t="shared" si="14"/>
        <v>0</v>
      </c>
      <c r="Y27" s="290">
        <v>0.0</v>
      </c>
      <c r="Z27" s="291">
        <v>0.09</v>
      </c>
      <c r="AA27" s="292">
        <f t="shared" si="15"/>
        <v>0</v>
      </c>
    </row>
    <row r="28" ht="15.75" customHeight="1">
      <c r="A28" s="293"/>
      <c r="B28" s="281" t="s">
        <v>51</v>
      </c>
      <c r="C28" s="42"/>
      <c r="D28" s="43"/>
      <c r="E28" s="294">
        <v>1.0</v>
      </c>
      <c r="F28" s="312" t="s">
        <v>45</v>
      </c>
      <c r="G28" s="250">
        <v>1.0</v>
      </c>
      <c r="H28" s="250"/>
      <c r="I28" s="319"/>
      <c r="J28" s="319"/>
      <c r="K28" s="290">
        <f t="shared" si="11"/>
        <v>0</v>
      </c>
      <c r="L28" s="291">
        <v>0.09</v>
      </c>
      <c r="M28" s="292">
        <f t="shared" si="12"/>
        <v>0</v>
      </c>
      <c r="N28" s="187"/>
      <c r="O28" s="60"/>
      <c r="P28" s="250">
        <v>1.0</v>
      </c>
      <c r="Q28" s="312" t="s">
        <v>45</v>
      </c>
      <c r="R28" s="250">
        <v>1.0</v>
      </c>
      <c r="S28" s="250"/>
      <c r="T28" s="319"/>
      <c r="U28" s="319"/>
      <c r="V28" s="290">
        <f t="shared" si="13"/>
        <v>0</v>
      </c>
      <c r="W28" s="291">
        <v>0.09</v>
      </c>
      <c r="X28" s="292">
        <f t="shared" si="14"/>
        <v>0</v>
      </c>
      <c r="Y28" s="290">
        <v>0.0</v>
      </c>
      <c r="Z28" s="291">
        <v>0.09</v>
      </c>
      <c r="AA28" s="292">
        <f t="shared" si="15"/>
        <v>0</v>
      </c>
    </row>
    <row r="29" ht="15.75" customHeight="1">
      <c r="A29" s="295"/>
      <c r="B29" s="296"/>
      <c r="C29" s="296"/>
      <c r="D29" s="296"/>
      <c r="E29" s="298"/>
      <c r="F29" s="306"/>
      <c r="G29" s="300"/>
      <c r="H29" s="300"/>
      <c r="I29" s="307"/>
      <c r="J29" s="307"/>
      <c r="K29" s="307"/>
      <c r="L29" s="308" t="s">
        <v>52</v>
      </c>
      <c r="M29" s="304">
        <f>SUM(M22:M28)</f>
        <v>0</v>
      </c>
      <c r="N29" s="305"/>
      <c r="O29" s="60"/>
      <c r="P29" s="306"/>
      <c r="Q29" s="306"/>
      <c r="R29" s="300"/>
      <c r="S29" s="300"/>
      <c r="T29" s="307"/>
      <c r="U29" s="307"/>
      <c r="V29" s="307"/>
      <c r="W29" s="308" t="s">
        <v>52</v>
      </c>
      <c r="X29" s="304">
        <f>SUM(X22:X28)</f>
        <v>0</v>
      </c>
      <c r="Y29" s="320"/>
      <c r="Z29" s="308" t="s">
        <v>52</v>
      </c>
      <c r="AA29" s="304">
        <f>SUM(AA22:AA28)</f>
        <v>0</v>
      </c>
    </row>
    <row r="30" ht="9.75" customHeight="1">
      <c r="A30" s="134"/>
      <c r="B30" s="134"/>
      <c r="C30" s="134"/>
      <c r="D30" s="134"/>
      <c r="E30" s="132"/>
      <c r="F30" s="133"/>
      <c r="G30" s="134"/>
      <c r="H30" s="134"/>
      <c r="I30" s="134"/>
      <c r="J30" s="134"/>
      <c r="K30" s="134"/>
      <c r="L30" s="134"/>
      <c r="M30" s="135"/>
      <c r="N30" s="136"/>
      <c r="O30" s="60"/>
      <c r="P30" s="133"/>
      <c r="Q30" s="133"/>
      <c r="R30" s="134"/>
      <c r="S30" s="134"/>
      <c r="T30" s="134"/>
      <c r="U30" s="134"/>
      <c r="V30" s="134"/>
      <c r="W30" s="134"/>
      <c r="X30" s="135"/>
      <c r="Y30" s="321"/>
      <c r="Z30" s="134"/>
      <c r="AA30" s="321"/>
    </row>
    <row r="31" ht="15.75" customHeight="1">
      <c r="A31" s="140" t="s">
        <v>53</v>
      </c>
      <c r="B31" s="62"/>
      <c r="C31" s="62"/>
      <c r="D31" s="63"/>
      <c r="E31" s="103"/>
      <c r="F31" s="67"/>
      <c r="G31" s="64"/>
      <c r="H31" s="64"/>
      <c r="I31" s="64"/>
      <c r="J31" s="64"/>
      <c r="K31" s="64"/>
      <c r="L31" s="64"/>
      <c r="M31" s="65"/>
      <c r="N31" s="140"/>
      <c r="O31" s="60"/>
      <c r="P31" s="67"/>
      <c r="Q31" s="67"/>
      <c r="R31" s="64"/>
      <c r="S31" s="64"/>
      <c r="T31" s="64"/>
      <c r="U31" s="64"/>
      <c r="V31" s="64"/>
      <c r="W31" s="64"/>
      <c r="X31" s="65"/>
      <c r="Y31" s="65"/>
      <c r="Z31" s="64"/>
      <c r="AA31" s="65"/>
    </row>
    <row r="32" ht="15.75" customHeight="1">
      <c r="A32" s="280"/>
      <c r="B32" s="322" t="s">
        <v>54</v>
      </c>
      <c r="C32" s="70"/>
      <c r="D32" s="71"/>
      <c r="E32" s="282">
        <v>1.0</v>
      </c>
      <c r="F32" s="312" t="s">
        <v>45</v>
      </c>
      <c r="G32" s="284">
        <v>1.0</v>
      </c>
      <c r="H32" s="284"/>
      <c r="I32" s="284"/>
      <c r="J32" s="284"/>
      <c r="K32" s="290">
        <f t="shared" ref="K32:K36" si="16">(E32*G32*H32)+(I32*J32*E32*G32)</f>
        <v>0</v>
      </c>
      <c r="L32" s="291">
        <v>0.09</v>
      </c>
      <c r="M32" s="292">
        <f t="shared" ref="M32:M36" si="17">K32/(1-L32)</f>
        <v>0</v>
      </c>
      <c r="N32" s="187"/>
      <c r="O32" s="60"/>
      <c r="P32" s="284">
        <v>1.0</v>
      </c>
      <c r="Q32" s="312" t="s">
        <v>45</v>
      </c>
      <c r="R32" s="284">
        <v>1.0</v>
      </c>
      <c r="S32" s="284"/>
      <c r="T32" s="284"/>
      <c r="U32" s="284"/>
      <c r="V32" s="290">
        <f t="shared" ref="V32:V36" si="18">(P32*R32*S32)+(T32*U32*P32*R32)</f>
        <v>0</v>
      </c>
      <c r="W32" s="291">
        <v>0.09</v>
      </c>
      <c r="X32" s="292">
        <f t="shared" ref="X32:X36" si="19">V32/(1-W32)</f>
        <v>0</v>
      </c>
      <c r="Y32" s="290">
        <v>0.0</v>
      </c>
      <c r="Z32" s="291">
        <v>0.09</v>
      </c>
      <c r="AA32" s="292">
        <f t="shared" ref="AA32:AA36" si="20">Y32/(1-Z32)</f>
        <v>0</v>
      </c>
    </row>
    <row r="33" ht="15.75" customHeight="1">
      <c r="A33" s="311"/>
      <c r="B33" s="322" t="s">
        <v>55</v>
      </c>
      <c r="C33" s="70"/>
      <c r="D33" s="71"/>
      <c r="E33" s="294">
        <v>1.0</v>
      </c>
      <c r="F33" s="312" t="s">
        <v>45</v>
      </c>
      <c r="G33" s="250">
        <v>1.0</v>
      </c>
      <c r="H33" s="250"/>
      <c r="I33" s="250"/>
      <c r="J33" s="250"/>
      <c r="K33" s="290">
        <f t="shared" si="16"/>
        <v>0</v>
      </c>
      <c r="L33" s="291">
        <v>0.09</v>
      </c>
      <c r="M33" s="292">
        <f t="shared" si="17"/>
        <v>0</v>
      </c>
      <c r="N33" s="187"/>
      <c r="O33" s="60"/>
      <c r="P33" s="250">
        <v>1.0</v>
      </c>
      <c r="Q33" s="312" t="s">
        <v>45</v>
      </c>
      <c r="R33" s="250">
        <v>1.0</v>
      </c>
      <c r="S33" s="250"/>
      <c r="T33" s="250"/>
      <c r="U33" s="250"/>
      <c r="V33" s="290">
        <f t="shared" si="18"/>
        <v>0</v>
      </c>
      <c r="W33" s="291">
        <v>0.09</v>
      </c>
      <c r="X33" s="292">
        <f t="shared" si="19"/>
        <v>0</v>
      </c>
      <c r="Y33" s="290">
        <v>0.0</v>
      </c>
      <c r="Z33" s="291">
        <v>0.09</v>
      </c>
      <c r="AA33" s="292">
        <f t="shared" si="20"/>
        <v>0</v>
      </c>
    </row>
    <row r="34" ht="15.75" customHeight="1">
      <c r="A34" s="293"/>
      <c r="B34" s="322" t="s">
        <v>56</v>
      </c>
      <c r="C34" s="70"/>
      <c r="D34" s="71"/>
      <c r="E34" s="294">
        <v>1.0</v>
      </c>
      <c r="F34" s="312" t="s">
        <v>45</v>
      </c>
      <c r="G34" s="250">
        <v>1.0</v>
      </c>
      <c r="H34" s="250"/>
      <c r="I34" s="250"/>
      <c r="J34" s="250"/>
      <c r="K34" s="290">
        <f t="shared" si="16"/>
        <v>0</v>
      </c>
      <c r="L34" s="291">
        <v>0.09</v>
      </c>
      <c r="M34" s="292">
        <f t="shared" si="17"/>
        <v>0</v>
      </c>
      <c r="N34" s="187"/>
      <c r="O34" s="60"/>
      <c r="P34" s="250">
        <v>1.0</v>
      </c>
      <c r="Q34" s="312" t="s">
        <v>45</v>
      </c>
      <c r="R34" s="250">
        <v>1.0</v>
      </c>
      <c r="S34" s="250"/>
      <c r="T34" s="250"/>
      <c r="U34" s="250"/>
      <c r="V34" s="290">
        <f t="shared" si="18"/>
        <v>0</v>
      </c>
      <c r="W34" s="291">
        <v>0.09</v>
      </c>
      <c r="X34" s="292">
        <f t="shared" si="19"/>
        <v>0</v>
      </c>
      <c r="Y34" s="290">
        <v>0.0</v>
      </c>
      <c r="Z34" s="291">
        <v>0.09</v>
      </c>
      <c r="AA34" s="292">
        <f t="shared" si="20"/>
        <v>0</v>
      </c>
    </row>
    <row r="35" ht="15.75" customHeight="1">
      <c r="A35" s="293"/>
      <c r="B35" s="322" t="s">
        <v>57</v>
      </c>
      <c r="C35" s="70"/>
      <c r="D35" s="71"/>
      <c r="E35" s="294">
        <v>1.0</v>
      </c>
      <c r="F35" s="312" t="s">
        <v>45</v>
      </c>
      <c r="G35" s="250">
        <v>1.0</v>
      </c>
      <c r="H35" s="313">
        <v>12000.0</v>
      </c>
      <c r="I35" s="250"/>
      <c r="J35" s="313">
        <v>1500.0</v>
      </c>
      <c r="K35" s="290">
        <f t="shared" si="16"/>
        <v>12000</v>
      </c>
      <c r="L35" s="291">
        <v>0.09</v>
      </c>
      <c r="M35" s="292">
        <f t="shared" si="17"/>
        <v>13186.81319</v>
      </c>
      <c r="N35" s="187"/>
      <c r="O35" s="60"/>
      <c r="P35" s="250">
        <v>1.0</v>
      </c>
      <c r="Q35" s="312" t="s">
        <v>45</v>
      </c>
      <c r="R35" s="250">
        <v>1.0</v>
      </c>
      <c r="S35" s="313">
        <v>12000.0</v>
      </c>
      <c r="T35" s="250"/>
      <c r="U35" s="313">
        <v>1500.0</v>
      </c>
      <c r="V35" s="290">
        <f t="shared" si="18"/>
        <v>12000</v>
      </c>
      <c r="W35" s="291">
        <v>0.09</v>
      </c>
      <c r="X35" s="292">
        <f t="shared" si="19"/>
        <v>13186.81319</v>
      </c>
      <c r="Y35" s="290">
        <v>0.0</v>
      </c>
      <c r="Z35" s="291">
        <v>0.09</v>
      </c>
      <c r="AA35" s="292">
        <f t="shared" si="20"/>
        <v>0</v>
      </c>
    </row>
    <row r="36" ht="15.75" customHeight="1">
      <c r="A36" s="293"/>
      <c r="B36" s="322" t="s">
        <v>58</v>
      </c>
      <c r="C36" s="70"/>
      <c r="D36" s="71"/>
      <c r="E36" s="294">
        <v>1.0</v>
      </c>
      <c r="F36" s="312" t="s">
        <v>45</v>
      </c>
      <c r="G36" s="250">
        <v>1.0</v>
      </c>
      <c r="H36" s="250"/>
      <c r="I36" s="250"/>
      <c r="J36" s="250"/>
      <c r="K36" s="290">
        <f t="shared" si="16"/>
        <v>0</v>
      </c>
      <c r="L36" s="291">
        <v>0.09</v>
      </c>
      <c r="M36" s="292">
        <f t="shared" si="17"/>
        <v>0</v>
      </c>
      <c r="N36" s="187"/>
      <c r="O36" s="60"/>
      <c r="P36" s="250">
        <v>1.0</v>
      </c>
      <c r="Q36" s="312" t="s">
        <v>45</v>
      </c>
      <c r="R36" s="250">
        <v>1.0</v>
      </c>
      <c r="S36" s="250"/>
      <c r="T36" s="250"/>
      <c r="U36" s="250"/>
      <c r="V36" s="290">
        <f t="shared" si="18"/>
        <v>0</v>
      </c>
      <c r="W36" s="291">
        <v>0.09</v>
      </c>
      <c r="X36" s="292">
        <f t="shared" si="19"/>
        <v>0</v>
      </c>
      <c r="Y36" s="290">
        <v>0.0</v>
      </c>
      <c r="Z36" s="291">
        <v>0.09</v>
      </c>
      <c r="AA36" s="292">
        <f t="shared" si="20"/>
        <v>0</v>
      </c>
    </row>
    <row r="37" ht="15.75" customHeight="1">
      <c r="A37" s="295"/>
      <c r="B37" s="295"/>
      <c r="C37" s="295"/>
      <c r="D37" s="295"/>
      <c r="E37" s="298"/>
      <c r="F37" s="306"/>
      <c r="G37" s="300"/>
      <c r="H37" s="300"/>
      <c r="I37" s="307"/>
      <c r="J37" s="307"/>
      <c r="K37" s="307"/>
      <c r="L37" s="308" t="s">
        <v>59</v>
      </c>
      <c r="M37" s="304">
        <f>SUM(M32:M36)</f>
        <v>13186.81319</v>
      </c>
      <c r="N37" s="305"/>
      <c r="O37" s="60"/>
      <c r="P37" s="306"/>
      <c r="Q37" s="306"/>
      <c r="R37" s="300"/>
      <c r="S37" s="300"/>
      <c r="T37" s="307"/>
      <c r="U37" s="307"/>
      <c r="V37" s="307"/>
      <c r="W37" s="308" t="s">
        <v>59</v>
      </c>
      <c r="X37" s="304">
        <f>SUM(X32:X36)</f>
        <v>13186.81319</v>
      </c>
      <c r="Y37" s="320"/>
      <c r="Z37" s="308" t="s">
        <v>59</v>
      </c>
      <c r="AA37" s="304">
        <f>SUM(AA32:AA36)</f>
        <v>0</v>
      </c>
    </row>
    <row r="38" ht="9.75" customHeight="1">
      <c r="A38" s="134"/>
      <c r="B38" s="134"/>
      <c r="C38" s="134"/>
      <c r="D38" s="134"/>
      <c r="E38" s="132"/>
      <c r="F38" s="133"/>
      <c r="G38" s="134"/>
      <c r="H38" s="134"/>
      <c r="I38" s="134"/>
      <c r="J38" s="134"/>
      <c r="K38" s="134"/>
      <c r="L38" s="134"/>
      <c r="M38" s="135"/>
      <c r="N38" s="136"/>
      <c r="O38" s="60"/>
      <c r="P38" s="133"/>
      <c r="Q38" s="133"/>
      <c r="R38" s="134"/>
      <c r="S38" s="134"/>
      <c r="T38" s="134"/>
      <c r="U38" s="134"/>
      <c r="V38" s="134"/>
      <c r="W38" s="134"/>
      <c r="X38" s="135"/>
      <c r="Y38" s="321"/>
      <c r="Z38" s="134"/>
      <c r="AA38" s="321"/>
    </row>
    <row r="39" ht="15.75" customHeight="1">
      <c r="A39" s="140" t="s">
        <v>60</v>
      </c>
      <c r="B39" s="62"/>
      <c r="C39" s="62"/>
      <c r="D39" s="63"/>
      <c r="E39" s="103"/>
      <c r="F39" s="67"/>
      <c r="G39" s="64"/>
      <c r="H39" s="64"/>
      <c r="I39" s="64"/>
      <c r="J39" s="64"/>
      <c r="K39" s="64"/>
      <c r="L39" s="64"/>
      <c r="M39" s="65"/>
      <c r="N39" s="144"/>
      <c r="O39" s="60"/>
      <c r="P39" s="67"/>
      <c r="Q39" s="67"/>
      <c r="R39" s="64"/>
      <c r="S39" s="64"/>
      <c r="T39" s="64"/>
      <c r="U39" s="64"/>
      <c r="V39" s="64"/>
      <c r="W39" s="64"/>
      <c r="X39" s="65"/>
      <c r="Y39" s="65"/>
      <c r="Z39" s="64"/>
      <c r="AA39" s="65"/>
    </row>
    <row r="40" ht="15.75" customHeight="1">
      <c r="A40" s="309"/>
      <c r="B40" s="323" t="s">
        <v>61</v>
      </c>
      <c r="C40" s="146"/>
      <c r="D40" s="147"/>
      <c r="E40" s="109"/>
      <c r="F40" s="110"/>
      <c r="G40" s="111"/>
      <c r="H40" s="111"/>
      <c r="I40" s="111"/>
      <c r="J40" s="111"/>
      <c r="K40" s="111"/>
      <c r="L40" s="111"/>
      <c r="M40" s="112"/>
      <c r="N40" s="113"/>
      <c r="O40" s="60"/>
      <c r="P40" s="110"/>
      <c r="Q40" s="110"/>
      <c r="R40" s="111"/>
      <c r="S40" s="111"/>
      <c r="T40" s="111"/>
      <c r="U40" s="111"/>
      <c r="V40" s="111"/>
      <c r="W40" s="111"/>
      <c r="X40" s="112"/>
      <c r="Y40" s="112"/>
      <c r="Z40" s="111"/>
      <c r="AA40" s="112"/>
    </row>
    <row r="41" ht="15.75" customHeight="1">
      <c r="A41" s="295"/>
      <c r="B41" s="324" t="s">
        <v>62</v>
      </c>
      <c r="C41" s="152"/>
      <c r="D41" s="153"/>
      <c r="E41" s="312">
        <v>1.0</v>
      </c>
      <c r="F41" s="312" t="s">
        <v>29</v>
      </c>
      <c r="G41" s="313">
        <v>1.0</v>
      </c>
      <c r="H41" s="313">
        <v>200000.0</v>
      </c>
      <c r="I41" s="313"/>
      <c r="J41" s="313"/>
      <c r="K41" s="290">
        <f t="shared" ref="K41:K47" si="21">(E41*G41*H41)+(I41*J41*E41*G41)</f>
        <v>200000</v>
      </c>
      <c r="L41" s="291">
        <v>0.09</v>
      </c>
      <c r="M41" s="292">
        <f t="shared" ref="M41:M47" si="22">K41/(1-L41)</f>
        <v>219780.2198</v>
      </c>
      <c r="N41" s="187"/>
      <c r="O41" s="60"/>
      <c r="P41" s="312">
        <v>1.0</v>
      </c>
      <c r="Q41" s="312" t="s">
        <v>29</v>
      </c>
      <c r="R41" s="313">
        <v>1.0</v>
      </c>
      <c r="S41" s="313">
        <v>200000.0</v>
      </c>
      <c r="T41" s="313"/>
      <c r="U41" s="313"/>
      <c r="V41" s="290">
        <f t="shared" ref="V41:V47" si="23">(P41*R41*S41)+(T41*U41*P41*R41)</f>
        <v>200000</v>
      </c>
      <c r="W41" s="291">
        <v>0.09</v>
      </c>
      <c r="X41" s="292">
        <f t="shared" ref="X41:X47" si="24">V41/(1-W41)</f>
        <v>219780.2198</v>
      </c>
      <c r="Y41" s="290">
        <v>0.0</v>
      </c>
      <c r="Z41" s="291">
        <v>0.09</v>
      </c>
      <c r="AA41" s="292">
        <f t="shared" ref="AA41:AA47" si="25">Y41/(1-Z41)</f>
        <v>0</v>
      </c>
    </row>
    <row r="42" ht="15.75" customHeight="1">
      <c r="A42" s="295"/>
      <c r="B42" s="281" t="s">
        <v>63</v>
      </c>
      <c r="C42" s="42"/>
      <c r="D42" s="43"/>
      <c r="E42" s="325">
        <v>1.0</v>
      </c>
      <c r="F42" s="312" t="s">
        <v>29</v>
      </c>
      <c r="G42" s="290">
        <v>1.0</v>
      </c>
      <c r="H42" s="290"/>
      <c r="I42" s="290"/>
      <c r="J42" s="290"/>
      <c r="K42" s="290">
        <f t="shared" si="21"/>
        <v>0</v>
      </c>
      <c r="L42" s="291">
        <v>0.09</v>
      </c>
      <c r="M42" s="292">
        <f t="shared" si="22"/>
        <v>0</v>
      </c>
      <c r="N42" s="187"/>
      <c r="O42" s="60"/>
      <c r="P42" s="325">
        <v>1.0</v>
      </c>
      <c r="Q42" s="312" t="s">
        <v>29</v>
      </c>
      <c r="R42" s="290">
        <v>1.0</v>
      </c>
      <c r="S42" s="290"/>
      <c r="T42" s="290"/>
      <c r="U42" s="290"/>
      <c r="V42" s="290">
        <f t="shared" si="23"/>
        <v>0</v>
      </c>
      <c r="W42" s="291">
        <v>0.09</v>
      </c>
      <c r="X42" s="292">
        <f t="shared" si="24"/>
        <v>0</v>
      </c>
      <c r="Y42" s="290">
        <v>0.0</v>
      </c>
      <c r="Z42" s="291">
        <v>0.09</v>
      </c>
      <c r="AA42" s="292">
        <f t="shared" si="25"/>
        <v>0</v>
      </c>
    </row>
    <row r="43" ht="15.75" customHeight="1">
      <c r="A43" s="295"/>
      <c r="B43" s="281" t="s">
        <v>64</v>
      </c>
      <c r="C43" s="42"/>
      <c r="D43" s="43"/>
      <c r="E43" s="325">
        <v>1.0</v>
      </c>
      <c r="F43" s="312" t="s">
        <v>29</v>
      </c>
      <c r="G43" s="290">
        <v>1.0</v>
      </c>
      <c r="H43" s="290"/>
      <c r="I43" s="290"/>
      <c r="J43" s="290"/>
      <c r="K43" s="290">
        <f t="shared" si="21"/>
        <v>0</v>
      </c>
      <c r="L43" s="291">
        <v>0.09</v>
      </c>
      <c r="M43" s="292">
        <f t="shared" si="22"/>
        <v>0</v>
      </c>
      <c r="N43" s="187"/>
      <c r="O43" s="60"/>
      <c r="P43" s="325">
        <v>1.0</v>
      </c>
      <c r="Q43" s="312" t="s">
        <v>29</v>
      </c>
      <c r="R43" s="290">
        <v>1.0</v>
      </c>
      <c r="S43" s="290"/>
      <c r="T43" s="290"/>
      <c r="U43" s="290"/>
      <c r="V43" s="290">
        <f t="shared" si="23"/>
        <v>0</v>
      </c>
      <c r="W43" s="291">
        <v>0.09</v>
      </c>
      <c r="X43" s="292">
        <f t="shared" si="24"/>
        <v>0</v>
      </c>
      <c r="Y43" s="290">
        <v>0.0</v>
      </c>
      <c r="Z43" s="291">
        <v>0.09</v>
      </c>
      <c r="AA43" s="292">
        <f t="shared" si="25"/>
        <v>0</v>
      </c>
    </row>
    <row r="44" ht="15.75" customHeight="1">
      <c r="A44" s="295"/>
      <c r="B44" s="281" t="s">
        <v>65</v>
      </c>
      <c r="C44" s="42"/>
      <c r="D44" s="43"/>
      <c r="E44" s="325">
        <v>1.0</v>
      </c>
      <c r="F44" s="312" t="s">
        <v>29</v>
      </c>
      <c r="G44" s="290">
        <v>1.0</v>
      </c>
      <c r="H44" s="290">
        <v>150000.0</v>
      </c>
      <c r="I44" s="290"/>
      <c r="J44" s="290"/>
      <c r="K44" s="290">
        <f t="shared" si="21"/>
        <v>150000</v>
      </c>
      <c r="L44" s="291">
        <v>0.09</v>
      </c>
      <c r="M44" s="292">
        <f t="shared" si="22"/>
        <v>164835.1648</v>
      </c>
      <c r="N44" s="187"/>
      <c r="O44" s="60"/>
      <c r="P44" s="325">
        <v>1.0</v>
      </c>
      <c r="Q44" s="312" t="s">
        <v>29</v>
      </c>
      <c r="R44" s="290">
        <v>1.0</v>
      </c>
      <c r="S44" s="290">
        <v>150000.0</v>
      </c>
      <c r="T44" s="290"/>
      <c r="U44" s="290"/>
      <c r="V44" s="290">
        <f t="shared" si="23"/>
        <v>150000</v>
      </c>
      <c r="W44" s="291">
        <v>0.09</v>
      </c>
      <c r="X44" s="292">
        <f t="shared" si="24"/>
        <v>164835.1648</v>
      </c>
      <c r="Y44" s="290">
        <v>0.0</v>
      </c>
      <c r="Z44" s="291">
        <v>0.09</v>
      </c>
      <c r="AA44" s="292">
        <f t="shared" si="25"/>
        <v>0</v>
      </c>
    </row>
    <row r="45" ht="15.75" customHeight="1">
      <c r="A45" s="295"/>
      <c r="B45" s="281" t="s">
        <v>66</v>
      </c>
      <c r="C45" s="42"/>
      <c r="D45" s="43"/>
      <c r="E45" s="325">
        <v>1.0</v>
      </c>
      <c r="F45" s="312" t="s">
        <v>29</v>
      </c>
      <c r="G45" s="290">
        <v>1.0</v>
      </c>
      <c r="H45" s="290">
        <v>75000.0</v>
      </c>
      <c r="I45" s="290"/>
      <c r="J45" s="290"/>
      <c r="K45" s="290">
        <f t="shared" si="21"/>
        <v>75000</v>
      </c>
      <c r="L45" s="291">
        <v>0.09</v>
      </c>
      <c r="M45" s="292">
        <f t="shared" si="22"/>
        <v>82417.58242</v>
      </c>
      <c r="N45" s="187"/>
      <c r="O45" s="60"/>
      <c r="P45" s="325">
        <v>1.0</v>
      </c>
      <c r="Q45" s="312" t="s">
        <v>29</v>
      </c>
      <c r="R45" s="290">
        <v>1.0</v>
      </c>
      <c r="S45" s="290">
        <v>75000.0</v>
      </c>
      <c r="T45" s="290"/>
      <c r="U45" s="290"/>
      <c r="V45" s="290">
        <f t="shared" si="23"/>
        <v>75000</v>
      </c>
      <c r="W45" s="291">
        <v>0.09</v>
      </c>
      <c r="X45" s="292">
        <f t="shared" si="24"/>
        <v>82417.58242</v>
      </c>
      <c r="Y45" s="290">
        <v>0.0</v>
      </c>
      <c r="Z45" s="291">
        <v>0.09</v>
      </c>
      <c r="AA45" s="292">
        <f t="shared" si="25"/>
        <v>0</v>
      </c>
    </row>
    <row r="46" ht="15.75" customHeight="1">
      <c r="A46" s="295"/>
      <c r="B46" s="281" t="s">
        <v>67</v>
      </c>
      <c r="C46" s="42"/>
      <c r="D46" s="43"/>
      <c r="E46" s="325">
        <v>1.0</v>
      </c>
      <c r="F46" s="325" t="s">
        <v>45</v>
      </c>
      <c r="G46" s="290">
        <v>1.0</v>
      </c>
      <c r="H46" s="290">
        <v>25000.0</v>
      </c>
      <c r="I46" s="290"/>
      <c r="J46" s="290"/>
      <c r="K46" s="290">
        <f t="shared" si="21"/>
        <v>25000</v>
      </c>
      <c r="L46" s="291">
        <v>0.09</v>
      </c>
      <c r="M46" s="292">
        <f t="shared" si="22"/>
        <v>27472.52747</v>
      </c>
      <c r="N46" s="187"/>
      <c r="O46" s="60"/>
      <c r="P46" s="325">
        <v>1.0</v>
      </c>
      <c r="Q46" s="325" t="s">
        <v>45</v>
      </c>
      <c r="R46" s="290">
        <v>1.0</v>
      </c>
      <c r="S46" s="290">
        <v>25000.0</v>
      </c>
      <c r="T46" s="290"/>
      <c r="U46" s="290"/>
      <c r="V46" s="290">
        <f t="shared" si="23"/>
        <v>25000</v>
      </c>
      <c r="W46" s="291">
        <v>0.09</v>
      </c>
      <c r="X46" s="292">
        <f t="shared" si="24"/>
        <v>27472.52747</v>
      </c>
      <c r="Y46" s="290">
        <v>0.0</v>
      </c>
      <c r="Z46" s="291">
        <v>0.09</v>
      </c>
      <c r="AA46" s="292">
        <f t="shared" si="25"/>
        <v>0</v>
      </c>
    </row>
    <row r="47" ht="15.75" customHeight="1">
      <c r="A47" s="295"/>
      <c r="B47" s="322" t="s">
        <v>68</v>
      </c>
      <c r="C47" s="70"/>
      <c r="D47" s="71"/>
      <c r="E47" s="326">
        <v>1.0</v>
      </c>
      <c r="F47" s="326" t="s">
        <v>45</v>
      </c>
      <c r="G47" s="327">
        <v>1.0</v>
      </c>
      <c r="H47" s="327">
        <v>7000.0</v>
      </c>
      <c r="I47" s="327"/>
      <c r="J47" s="327">
        <v>700.0</v>
      </c>
      <c r="K47" s="290">
        <f t="shared" si="21"/>
        <v>7000</v>
      </c>
      <c r="L47" s="291">
        <v>0.09</v>
      </c>
      <c r="M47" s="292">
        <f t="shared" si="22"/>
        <v>7692.307692</v>
      </c>
      <c r="N47" s="305"/>
      <c r="O47" s="60"/>
      <c r="P47" s="326">
        <v>1.0</v>
      </c>
      <c r="Q47" s="326" t="s">
        <v>45</v>
      </c>
      <c r="R47" s="327">
        <v>1.0</v>
      </c>
      <c r="S47" s="327">
        <v>7000.0</v>
      </c>
      <c r="T47" s="327"/>
      <c r="U47" s="327">
        <v>700.0</v>
      </c>
      <c r="V47" s="290">
        <f t="shared" si="23"/>
        <v>7000</v>
      </c>
      <c r="W47" s="291">
        <v>0.09</v>
      </c>
      <c r="X47" s="292">
        <f t="shared" si="24"/>
        <v>7692.307692</v>
      </c>
      <c r="Y47" s="290">
        <v>0.0</v>
      </c>
      <c r="Z47" s="291">
        <v>0.09</v>
      </c>
      <c r="AA47" s="292">
        <f t="shared" si="25"/>
        <v>0</v>
      </c>
    </row>
    <row r="48" ht="15.75" customHeight="1">
      <c r="A48" s="314"/>
      <c r="B48" s="163" t="s">
        <v>69</v>
      </c>
      <c r="C48" s="157"/>
      <c r="D48" s="158"/>
      <c r="E48" s="159"/>
      <c r="F48" s="160"/>
      <c r="G48" s="161"/>
      <c r="H48" s="161"/>
      <c r="I48" s="161"/>
      <c r="J48" s="161"/>
      <c r="K48" s="161"/>
      <c r="L48" s="161"/>
      <c r="M48" s="162"/>
      <c r="N48" s="163"/>
      <c r="O48" s="60"/>
      <c r="P48" s="160"/>
      <c r="Q48" s="160"/>
      <c r="R48" s="161"/>
      <c r="S48" s="161"/>
      <c r="T48" s="161"/>
      <c r="U48" s="161"/>
      <c r="V48" s="161"/>
      <c r="W48" s="161"/>
      <c r="X48" s="162"/>
      <c r="Y48" s="162"/>
      <c r="Z48" s="161"/>
      <c r="AA48" s="162"/>
    </row>
    <row r="49" ht="15.75" customHeight="1">
      <c r="A49" s="295"/>
      <c r="B49" s="324" t="s">
        <v>70</v>
      </c>
      <c r="C49" s="152"/>
      <c r="D49" s="153"/>
      <c r="E49" s="312">
        <v>1.0</v>
      </c>
      <c r="F49" s="312" t="s">
        <v>29</v>
      </c>
      <c r="G49" s="313">
        <v>1.0</v>
      </c>
      <c r="H49" s="313"/>
      <c r="I49" s="313"/>
      <c r="J49" s="313"/>
      <c r="K49" s="290">
        <f t="shared" ref="K49:K52" si="26">(E49*G49*H49)+(I49*J49*E49*G49)</f>
        <v>0</v>
      </c>
      <c r="L49" s="291">
        <v>0.09</v>
      </c>
      <c r="M49" s="292">
        <f t="shared" ref="M49:M52" si="27">K49/(1-L49)</f>
        <v>0</v>
      </c>
      <c r="N49" s="187"/>
      <c r="O49" s="60"/>
      <c r="P49" s="312">
        <v>1.0</v>
      </c>
      <c r="Q49" s="312" t="s">
        <v>29</v>
      </c>
      <c r="R49" s="313">
        <v>1.0</v>
      </c>
      <c r="S49" s="313"/>
      <c r="T49" s="313"/>
      <c r="U49" s="313"/>
      <c r="V49" s="290">
        <f t="shared" ref="V49:V52" si="28">(P49*R49*S49)+(T49*U49*P49*R49)</f>
        <v>0</v>
      </c>
      <c r="W49" s="291">
        <v>0.09</v>
      </c>
      <c r="X49" s="292">
        <f t="shared" ref="X49:X52" si="29">V49/(1-W49)</f>
        <v>0</v>
      </c>
      <c r="Y49" s="290">
        <v>0.0</v>
      </c>
      <c r="Z49" s="291">
        <v>0.09</v>
      </c>
      <c r="AA49" s="292">
        <f t="shared" ref="AA49:AA52" si="30">Y49/(1-Z49)</f>
        <v>0</v>
      </c>
    </row>
    <row r="50" ht="15.75" customHeight="1">
      <c r="A50" s="295"/>
      <c r="B50" s="281" t="s">
        <v>71</v>
      </c>
      <c r="C50" s="42"/>
      <c r="D50" s="43"/>
      <c r="E50" s="325">
        <v>1.0</v>
      </c>
      <c r="F50" s="312" t="s">
        <v>29</v>
      </c>
      <c r="G50" s="290">
        <v>1.0</v>
      </c>
      <c r="H50" s="290"/>
      <c r="I50" s="290"/>
      <c r="J50" s="290"/>
      <c r="K50" s="290">
        <f t="shared" si="26"/>
        <v>0</v>
      </c>
      <c r="L50" s="291">
        <v>0.09</v>
      </c>
      <c r="M50" s="292">
        <f t="shared" si="27"/>
        <v>0</v>
      </c>
      <c r="N50" s="187"/>
      <c r="O50" s="60"/>
      <c r="P50" s="325">
        <v>1.0</v>
      </c>
      <c r="Q50" s="312" t="s">
        <v>29</v>
      </c>
      <c r="R50" s="290">
        <v>1.0</v>
      </c>
      <c r="S50" s="290"/>
      <c r="T50" s="290"/>
      <c r="U50" s="290"/>
      <c r="V50" s="290">
        <f t="shared" si="28"/>
        <v>0</v>
      </c>
      <c r="W50" s="291">
        <v>0.09</v>
      </c>
      <c r="X50" s="292">
        <f t="shared" si="29"/>
        <v>0</v>
      </c>
      <c r="Y50" s="290">
        <v>0.0</v>
      </c>
      <c r="Z50" s="291">
        <v>0.09</v>
      </c>
      <c r="AA50" s="292">
        <f t="shared" si="30"/>
        <v>0</v>
      </c>
    </row>
    <row r="51" ht="15.75" customHeight="1">
      <c r="A51" s="295"/>
      <c r="B51" s="281" t="s">
        <v>72</v>
      </c>
      <c r="C51" s="42"/>
      <c r="D51" s="43"/>
      <c r="E51" s="325">
        <v>1.0</v>
      </c>
      <c r="F51" s="325" t="s">
        <v>45</v>
      </c>
      <c r="G51" s="290">
        <v>1.0</v>
      </c>
      <c r="H51" s="290"/>
      <c r="I51" s="290"/>
      <c r="J51" s="290"/>
      <c r="K51" s="290">
        <f t="shared" si="26"/>
        <v>0</v>
      </c>
      <c r="L51" s="291">
        <v>0.09</v>
      </c>
      <c r="M51" s="292">
        <f t="shared" si="27"/>
        <v>0</v>
      </c>
      <c r="N51" s="187"/>
      <c r="O51" s="60"/>
      <c r="P51" s="325">
        <v>1.0</v>
      </c>
      <c r="Q51" s="325" t="s">
        <v>45</v>
      </c>
      <c r="R51" s="290">
        <v>1.0</v>
      </c>
      <c r="S51" s="290"/>
      <c r="T51" s="290"/>
      <c r="U51" s="290"/>
      <c r="V51" s="290">
        <f t="shared" si="28"/>
        <v>0</v>
      </c>
      <c r="W51" s="291">
        <v>0.09</v>
      </c>
      <c r="X51" s="292">
        <f t="shared" si="29"/>
        <v>0</v>
      </c>
      <c r="Y51" s="290">
        <v>0.0</v>
      </c>
      <c r="Z51" s="291">
        <v>0.09</v>
      </c>
      <c r="AA51" s="292">
        <f t="shared" si="30"/>
        <v>0</v>
      </c>
    </row>
    <row r="52" ht="15.75" customHeight="1">
      <c r="A52" s="295"/>
      <c r="B52" s="322" t="s">
        <v>73</v>
      </c>
      <c r="C52" s="70"/>
      <c r="D52" s="71"/>
      <c r="E52" s="326">
        <v>1.0</v>
      </c>
      <c r="F52" s="326" t="s">
        <v>49</v>
      </c>
      <c r="G52" s="327">
        <v>1.0</v>
      </c>
      <c r="H52" s="327"/>
      <c r="I52" s="327"/>
      <c r="J52" s="327"/>
      <c r="K52" s="290">
        <f t="shared" si="26"/>
        <v>0</v>
      </c>
      <c r="L52" s="291">
        <v>0.09</v>
      </c>
      <c r="M52" s="292">
        <f t="shared" si="27"/>
        <v>0</v>
      </c>
      <c r="N52" s="187"/>
      <c r="O52" s="60"/>
      <c r="P52" s="326">
        <v>1.0</v>
      </c>
      <c r="Q52" s="326" t="s">
        <v>49</v>
      </c>
      <c r="R52" s="327">
        <v>1.0</v>
      </c>
      <c r="S52" s="327"/>
      <c r="T52" s="327"/>
      <c r="U52" s="327"/>
      <c r="V52" s="290">
        <f t="shared" si="28"/>
        <v>0</v>
      </c>
      <c r="W52" s="291">
        <v>0.09</v>
      </c>
      <c r="X52" s="292">
        <f t="shared" si="29"/>
        <v>0</v>
      </c>
      <c r="Y52" s="290">
        <v>0.0</v>
      </c>
      <c r="Z52" s="291">
        <v>0.09</v>
      </c>
      <c r="AA52" s="292">
        <f t="shared" si="30"/>
        <v>0</v>
      </c>
    </row>
    <row r="53" ht="15.75" customHeight="1">
      <c r="A53" s="314"/>
      <c r="B53" s="315" t="s">
        <v>74</v>
      </c>
      <c r="C53" s="120"/>
      <c r="D53" s="121"/>
      <c r="E53" s="159"/>
      <c r="F53" s="160"/>
      <c r="G53" s="161"/>
      <c r="H53" s="161"/>
      <c r="I53" s="161"/>
      <c r="J53" s="161"/>
      <c r="K53" s="161"/>
      <c r="L53" s="161"/>
      <c r="M53" s="162"/>
      <c r="N53" s="164"/>
      <c r="O53" s="60"/>
      <c r="P53" s="160"/>
      <c r="Q53" s="160"/>
      <c r="R53" s="161"/>
      <c r="S53" s="161"/>
      <c r="T53" s="161"/>
      <c r="U53" s="161"/>
      <c r="V53" s="161"/>
      <c r="W53" s="161"/>
      <c r="X53" s="162"/>
      <c r="Y53" s="162"/>
      <c r="Z53" s="161"/>
      <c r="AA53" s="162"/>
    </row>
    <row r="54" ht="15.75" customHeight="1">
      <c r="A54" s="293"/>
      <c r="B54" s="324" t="s">
        <v>75</v>
      </c>
      <c r="C54" s="152"/>
      <c r="D54" s="153"/>
      <c r="E54" s="312">
        <v>1.0</v>
      </c>
      <c r="F54" s="312" t="s">
        <v>45</v>
      </c>
      <c r="G54" s="313">
        <v>1.0</v>
      </c>
      <c r="H54" s="313">
        <v>200000.0</v>
      </c>
      <c r="I54" s="313"/>
      <c r="J54" s="313">
        <v>20000.0</v>
      </c>
      <c r="K54" s="290">
        <f t="shared" ref="K54:K90" si="31">(E54*G54*H54)+(I54*J54*E54*G54)</f>
        <v>200000</v>
      </c>
      <c r="L54" s="291">
        <v>0.09</v>
      </c>
      <c r="M54" s="292">
        <f t="shared" ref="M54:M84" si="32">K54/(1-L54)</f>
        <v>219780.2198</v>
      </c>
      <c r="N54" s="187"/>
      <c r="O54" s="60"/>
      <c r="P54" s="312">
        <v>1.0</v>
      </c>
      <c r="Q54" s="312" t="s">
        <v>45</v>
      </c>
      <c r="R54" s="313">
        <v>1.0</v>
      </c>
      <c r="S54" s="313">
        <v>200000.0</v>
      </c>
      <c r="T54" s="313"/>
      <c r="U54" s="313">
        <v>20000.0</v>
      </c>
      <c r="V54" s="290">
        <f t="shared" ref="V54:V90" si="33">(P54*R54*S54)+(T54*U54*P54*R54)</f>
        <v>200000</v>
      </c>
      <c r="W54" s="291">
        <v>0.09</v>
      </c>
      <c r="X54" s="292">
        <f t="shared" ref="X54:X90" si="34">V54/(1-W54)</f>
        <v>219780.2198</v>
      </c>
      <c r="Y54" s="290">
        <v>0.0</v>
      </c>
      <c r="Z54" s="291">
        <v>0.09</v>
      </c>
      <c r="AA54" s="292">
        <f t="shared" ref="AA54:AA90" si="35">Y54/(1-Z54)</f>
        <v>0</v>
      </c>
    </row>
    <row r="55" ht="15.75" customHeight="1">
      <c r="A55" s="293"/>
      <c r="B55" s="324" t="s">
        <v>76</v>
      </c>
      <c r="C55" s="152"/>
      <c r="D55" s="153"/>
      <c r="E55" s="312">
        <v>1.0</v>
      </c>
      <c r="F55" s="312" t="s">
        <v>49</v>
      </c>
      <c r="G55" s="313">
        <v>1.0</v>
      </c>
      <c r="H55" s="313"/>
      <c r="I55" s="313"/>
      <c r="J55" s="313">
        <v>40000.0</v>
      </c>
      <c r="K55" s="290">
        <f t="shared" si="31"/>
        <v>0</v>
      </c>
      <c r="L55" s="291">
        <v>0.09</v>
      </c>
      <c r="M55" s="292">
        <f t="shared" si="32"/>
        <v>0</v>
      </c>
      <c r="N55" s="187"/>
      <c r="O55" s="60"/>
      <c r="P55" s="312">
        <v>1.0</v>
      </c>
      <c r="Q55" s="312" t="s">
        <v>49</v>
      </c>
      <c r="R55" s="313">
        <v>1.0</v>
      </c>
      <c r="S55" s="313"/>
      <c r="T55" s="313"/>
      <c r="U55" s="313">
        <v>40000.0</v>
      </c>
      <c r="V55" s="290">
        <f t="shared" si="33"/>
        <v>0</v>
      </c>
      <c r="W55" s="291">
        <v>0.09</v>
      </c>
      <c r="X55" s="292">
        <f t="shared" si="34"/>
        <v>0</v>
      </c>
      <c r="Y55" s="290">
        <v>0.0</v>
      </c>
      <c r="Z55" s="291">
        <v>0.09</v>
      </c>
      <c r="AA55" s="292">
        <f t="shared" si="35"/>
        <v>0</v>
      </c>
    </row>
    <row r="56" ht="15.75" customHeight="1">
      <c r="A56" s="293"/>
      <c r="B56" s="324" t="s">
        <v>77</v>
      </c>
      <c r="C56" s="152"/>
      <c r="D56" s="153"/>
      <c r="E56" s="312">
        <v>1.0</v>
      </c>
      <c r="F56" s="312" t="s">
        <v>49</v>
      </c>
      <c r="G56" s="313">
        <v>1.0</v>
      </c>
      <c r="H56" s="313"/>
      <c r="I56" s="313"/>
      <c r="J56" s="313">
        <v>80000.0</v>
      </c>
      <c r="K56" s="290">
        <f t="shared" si="31"/>
        <v>0</v>
      </c>
      <c r="L56" s="291">
        <v>0.09</v>
      </c>
      <c r="M56" s="292">
        <f t="shared" si="32"/>
        <v>0</v>
      </c>
      <c r="N56" s="187"/>
      <c r="O56" s="60"/>
      <c r="P56" s="312">
        <v>1.0</v>
      </c>
      <c r="Q56" s="312" t="s">
        <v>49</v>
      </c>
      <c r="R56" s="313">
        <v>1.0</v>
      </c>
      <c r="S56" s="313"/>
      <c r="T56" s="313"/>
      <c r="U56" s="313">
        <v>80000.0</v>
      </c>
      <c r="V56" s="290">
        <f t="shared" si="33"/>
        <v>0</v>
      </c>
      <c r="W56" s="291">
        <v>0.09</v>
      </c>
      <c r="X56" s="292">
        <f t="shared" si="34"/>
        <v>0</v>
      </c>
      <c r="Y56" s="290">
        <v>0.0</v>
      </c>
      <c r="Z56" s="291">
        <v>0.09</v>
      </c>
      <c r="AA56" s="292">
        <f t="shared" si="35"/>
        <v>0</v>
      </c>
    </row>
    <row r="57" ht="15.75" customHeight="1">
      <c r="A57" s="293"/>
      <c r="B57" s="328" t="s">
        <v>78</v>
      </c>
      <c r="C57" s="6"/>
      <c r="D57" s="166"/>
      <c r="E57" s="325">
        <v>1.0</v>
      </c>
      <c r="F57" s="312" t="s">
        <v>45</v>
      </c>
      <c r="G57" s="290">
        <v>1.0</v>
      </c>
      <c r="H57" s="290">
        <v>34000.0</v>
      </c>
      <c r="I57" s="290"/>
      <c r="J57" s="290">
        <v>5000.0</v>
      </c>
      <c r="K57" s="290">
        <f t="shared" si="31"/>
        <v>34000</v>
      </c>
      <c r="L57" s="291">
        <v>0.09</v>
      </c>
      <c r="M57" s="292">
        <f t="shared" si="32"/>
        <v>37362.63736</v>
      </c>
      <c r="N57" s="187"/>
      <c r="O57" s="60"/>
      <c r="P57" s="325">
        <v>1.0</v>
      </c>
      <c r="Q57" s="312" t="s">
        <v>45</v>
      </c>
      <c r="R57" s="290">
        <v>1.0</v>
      </c>
      <c r="S57" s="290">
        <v>34000.0</v>
      </c>
      <c r="T57" s="290"/>
      <c r="U57" s="290">
        <v>5000.0</v>
      </c>
      <c r="V57" s="290">
        <f t="shared" si="33"/>
        <v>34000</v>
      </c>
      <c r="W57" s="291">
        <v>0.09</v>
      </c>
      <c r="X57" s="292">
        <f t="shared" si="34"/>
        <v>37362.63736</v>
      </c>
      <c r="Y57" s="290">
        <v>0.0</v>
      </c>
      <c r="Z57" s="291">
        <v>0.09</v>
      </c>
      <c r="AA57" s="292">
        <f t="shared" si="35"/>
        <v>0</v>
      </c>
    </row>
    <row r="58" ht="15.75" customHeight="1">
      <c r="A58" s="293"/>
      <c r="B58" s="324" t="s">
        <v>76</v>
      </c>
      <c r="C58" s="152"/>
      <c r="D58" s="153"/>
      <c r="E58" s="312">
        <v>1.0</v>
      </c>
      <c r="F58" s="312" t="s">
        <v>49</v>
      </c>
      <c r="G58" s="313">
        <v>1.0</v>
      </c>
      <c r="H58" s="313"/>
      <c r="I58" s="313"/>
      <c r="J58" s="313"/>
      <c r="K58" s="290">
        <f t="shared" si="31"/>
        <v>0</v>
      </c>
      <c r="L58" s="291">
        <v>0.09</v>
      </c>
      <c r="M58" s="292">
        <f t="shared" si="32"/>
        <v>0</v>
      </c>
      <c r="N58" s="187"/>
      <c r="O58" s="60"/>
      <c r="P58" s="312">
        <v>1.0</v>
      </c>
      <c r="Q58" s="312" t="s">
        <v>49</v>
      </c>
      <c r="R58" s="313">
        <v>1.0</v>
      </c>
      <c r="S58" s="313"/>
      <c r="T58" s="313"/>
      <c r="U58" s="313">
        <v>10000.0</v>
      </c>
      <c r="V58" s="290">
        <f t="shared" si="33"/>
        <v>0</v>
      </c>
      <c r="W58" s="291">
        <v>0.09</v>
      </c>
      <c r="X58" s="292">
        <f t="shared" si="34"/>
        <v>0</v>
      </c>
      <c r="Y58" s="290">
        <v>0.0</v>
      </c>
      <c r="Z58" s="291">
        <v>0.09</v>
      </c>
      <c r="AA58" s="292">
        <f t="shared" si="35"/>
        <v>0</v>
      </c>
    </row>
    <row r="59" ht="15.75" customHeight="1">
      <c r="A59" s="293"/>
      <c r="B59" s="324" t="s">
        <v>77</v>
      </c>
      <c r="C59" s="152"/>
      <c r="D59" s="153"/>
      <c r="E59" s="312">
        <v>1.0</v>
      </c>
      <c r="F59" s="312" t="s">
        <v>49</v>
      </c>
      <c r="G59" s="313">
        <v>1.0</v>
      </c>
      <c r="H59" s="313"/>
      <c r="I59" s="313"/>
      <c r="J59" s="313"/>
      <c r="K59" s="290">
        <f t="shared" si="31"/>
        <v>0</v>
      </c>
      <c r="L59" s="291">
        <v>0.09</v>
      </c>
      <c r="M59" s="292">
        <f t="shared" si="32"/>
        <v>0</v>
      </c>
      <c r="N59" s="187"/>
      <c r="O59" s="60"/>
      <c r="P59" s="312">
        <v>1.0</v>
      </c>
      <c r="Q59" s="312" t="s">
        <v>49</v>
      </c>
      <c r="R59" s="313">
        <v>1.0</v>
      </c>
      <c r="S59" s="313"/>
      <c r="T59" s="313"/>
      <c r="U59" s="313">
        <v>20000.0</v>
      </c>
      <c r="V59" s="290">
        <f t="shared" si="33"/>
        <v>0</v>
      </c>
      <c r="W59" s="291">
        <v>0.09</v>
      </c>
      <c r="X59" s="292">
        <f t="shared" si="34"/>
        <v>0</v>
      </c>
      <c r="Y59" s="290">
        <v>0.0</v>
      </c>
      <c r="Z59" s="291">
        <v>0.09</v>
      </c>
      <c r="AA59" s="292">
        <f t="shared" si="35"/>
        <v>0</v>
      </c>
    </row>
    <row r="60" ht="15.75" customHeight="1">
      <c r="A60" s="293"/>
      <c r="B60" s="328" t="s">
        <v>79</v>
      </c>
      <c r="C60" s="6"/>
      <c r="D60" s="166"/>
      <c r="E60" s="325">
        <v>1.0</v>
      </c>
      <c r="F60" s="312" t="s">
        <v>45</v>
      </c>
      <c r="G60" s="290">
        <v>2.0</v>
      </c>
      <c r="H60" s="290">
        <v>18000.0</v>
      </c>
      <c r="I60" s="290"/>
      <c r="J60" s="290">
        <v>3500.0</v>
      </c>
      <c r="K60" s="290">
        <f t="shared" si="31"/>
        <v>36000</v>
      </c>
      <c r="L60" s="291">
        <v>0.09</v>
      </c>
      <c r="M60" s="292">
        <f t="shared" si="32"/>
        <v>39560.43956</v>
      </c>
      <c r="N60" s="187"/>
      <c r="O60" s="60"/>
      <c r="P60" s="325">
        <v>1.0</v>
      </c>
      <c r="Q60" s="312" t="s">
        <v>45</v>
      </c>
      <c r="R60" s="290">
        <v>2.0</v>
      </c>
      <c r="S60" s="290">
        <v>18000.0</v>
      </c>
      <c r="T60" s="290"/>
      <c r="U60" s="290">
        <v>3500.0</v>
      </c>
      <c r="V60" s="290">
        <f t="shared" si="33"/>
        <v>36000</v>
      </c>
      <c r="W60" s="291">
        <v>0.09</v>
      </c>
      <c r="X60" s="292">
        <f t="shared" si="34"/>
        <v>39560.43956</v>
      </c>
      <c r="Y60" s="290">
        <v>0.0</v>
      </c>
      <c r="Z60" s="291">
        <v>0.09</v>
      </c>
      <c r="AA60" s="292">
        <f t="shared" si="35"/>
        <v>0</v>
      </c>
    </row>
    <row r="61" ht="15.75" customHeight="1">
      <c r="A61" s="293"/>
      <c r="B61" s="324" t="s">
        <v>76</v>
      </c>
      <c r="C61" s="152"/>
      <c r="D61" s="153"/>
      <c r="E61" s="325">
        <v>1.0</v>
      </c>
      <c r="F61" s="312" t="s">
        <v>49</v>
      </c>
      <c r="G61" s="290">
        <v>1.0</v>
      </c>
      <c r="H61" s="290"/>
      <c r="I61" s="290"/>
      <c r="J61" s="290">
        <v>7000.0</v>
      </c>
      <c r="K61" s="290">
        <f t="shared" si="31"/>
        <v>0</v>
      </c>
      <c r="L61" s="291">
        <v>0.09</v>
      </c>
      <c r="M61" s="292">
        <f t="shared" si="32"/>
        <v>0</v>
      </c>
      <c r="N61" s="187"/>
      <c r="O61" s="60"/>
      <c r="P61" s="325">
        <v>1.0</v>
      </c>
      <c r="Q61" s="312" t="s">
        <v>49</v>
      </c>
      <c r="R61" s="290">
        <v>1.0</v>
      </c>
      <c r="S61" s="290"/>
      <c r="T61" s="290"/>
      <c r="U61" s="290">
        <v>7000.0</v>
      </c>
      <c r="V61" s="290">
        <f t="shared" si="33"/>
        <v>0</v>
      </c>
      <c r="W61" s="291">
        <v>0.09</v>
      </c>
      <c r="X61" s="292">
        <f t="shared" si="34"/>
        <v>0</v>
      </c>
      <c r="Y61" s="290">
        <v>0.0</v>
      </c>
      <c r="Z61" s="291">
        <v>0.09</v>
      </c>
      <c r="AA61" s="292">
        <f t="shared" si="35"/>
        <v>0</v>
      </c>
    </row>
    <row r="62" ht="15.75" customHeight="1">
      <c r="A62" s="293"/>
      <c r="B62" s="324" t="s">
        <v>77</v>
      </c>
      <c r="C62" s="152"/>
      <c r="D62" s="153"/>
      <c r="E62" s="325">
        <v>1.0</v>
      </c>
      <c r="F62" s="312" t="s">
        <v>49</v>
      </c>
      <c r="G62" s="290">
        <v>1.0</v>
      </c>
      <c r="H62" s="290"/>
      <c r="I62" s="290"/>
      <c r="J62" s="290">
        <v>14000.0</v>
      </c>
      <c r="K62" s="290">
        <f t="shared" si="31"/>
        <v>0</v>
      </c>
      <c r="L62" s="291">
        <v>0.09</v>
      </c>
      <c r="M62" s="292">
        <f t="shared" si="32"/>
        <v>0</v>
      </c>
      <c r="N62" s="187"/>
      <c r="O62" s="60"/>
      <c r="P62" s="325">
        <v>1.0</v>
      </c>
      <c r="Q62" s="312" t="s">
        <v>49</v>
      </c>
      <c r="R62" s="290">
        <v>1.0</v>
      </c>
      <c r="S62" s="290"/>
      <c r="T62" s="290"/>
      <c r="U62" s="290">
        <v>14000.0</v>
      </c>
      <c r="V62" s="290">
        <f t="shared" si="33"/>
        <v>0</v>
      </c>
      <c r="W62" s="291">
        <v>0.09</v>
      </c>
      <c r="X62" s="292">
        <f t="shared" si="34"/>
        <v>0</v>
      </c>
      <c r="Y62" s="290">
        <v>0.0</v>
      </c>
      <c r="Z62" s="291">
        <v>0.09</v>
      </c>
      <c r="AA62" s="292">
        <f t="shared" si="35"/>
        <v>0</v>
      </c>
    </row>
    <row r="63" ht="15.75" customHeight="1">
      <c r="A63" s="293"/>
      <c r="B63" s="329" t="s">
        <v>80</v>
      </c>
      <c r="C63" s="168"/>
      <c r="D63" s="36"/>
      <c r="E63" s="325">
        <v>1.0</v>
      </c>
      <c r="F63" s="325" t="s">
        <v>45</v>
      </c>
      <c r="G63" s="290">
        <v>1.0</v>
      </c>
      <c r="H63" s="290">
        <v>14000.0</v>
      </c>
      <c r="I63" s="290"/>
      <c r="J63" s="290"/>
      <c r="K63" s="290">
        <f t="shared" si="31"/>
        <v>14000</v>
      </c>
      <c r="L63" s="291">
        <v>0.09</v>
      </c>
      <c r="M63" s="292">
        <f t="shared" si="32"/>
        <v>15384.61538</v>
      </c>
      <c r="N63" s="187"/>
      <c r="O63" s="60"/>
      <c r="P63" s="325">
        <v>1.0</v>
      </c>
      <c r="Q63" s="325" t="s">
        <v>45</v>
      </c>
      <c r="R63" s="290">
        <v>1.0</v>
      </c>
      <c r="S63" s="290">
        <v>10000.0</v>
      </c>
      <c r="T63" s="290"/>
      <c r="U63" s="290"/>
      <c r="V63" s="290">
        <f t="shared" si="33"/>
        <v>10000</v>
      </c>
      <c r="W63" s="291">
        <v>0.09</v>
      </c>
      <c r="X63" s="292">
        <f t="shared" si="34"/>
        <v>10989.01099</v>
      </c>
      <c r="Y63" s="290">
        <v>0.0</v>
      </c>
      <c r="Z63" s="291">
        <v>0.09</v>
      </c>
      <c r="AA63" s="292">
        <f t="shared" si="35"/>
        <v>0</v>
      </c>
    </row>
    <row r="64" ht="15.75" customHeight="1">
      <c r="A64" s="293"/>
      <c r="B64" s="324" t="s">
        <v>81</v>
      </c>
      <c r="C64" s="152"/>
      <c r="D64" s="153"/>
      <c r="E64" s="325">
        <v>1.0</v>
      </c>
      <c r="F64" s="325" t="s">
        <v>45</v>
      </c>
      <c r="G64" s="290">
        <v>1.0</v>
      </c>
      <c r="H64" s="290">
        <v>3000.0</v>
      </c>
      <c r="I64" s="290"/>
      <c r="J64" s="290"/>
      <c r="K64" s="290">
        <f t="shared" si="31"/>
        <v>3000</v>
      </c>
      <c r="L64" s="291">
        <v>0.09</v>
      </c>
      <c r="M64" s="292">
        <f t="shared" si="32"/>
        <v>3296.703297</v>
      </c>
      <c r="N64" s="187"/>
      <c r="O64" s="60"/>
      <c r="P64" s="325">
        <v>1.0</v>
      </c>
      <c r="Q64" s="325" t="s">
        <v>45</v>
      </c>
      <c r="R64" s="290">
        <v>1.0</v>
      </c>
      <c r="S64" s="290">
        <v>3000.0</v>
      </c>
      <c r="T64" s="290"/>
      <c r="U64" s="290"/>
      <c r="V64" s="290">
        <f t="shared" si="33"/>
        <v>3000</v>
      </c>
      <c r="W64" s="291">
        <v>0.09</v>
      </c>
      <c r="X64" s="292">
        <f t="shared" si="34"/>
        <v>3296.703297</v>
      </c>
      <c r="Y64" s="290">
        <v>0.0</v>
      </c>
      <c r="Z64" s="291">
        <v>0.09</v>
      </c>
      <c r="AA64" s="292">
        <f t="shared" si="35"/>
        <v>0</v>
      </c>
    </row>
    <row r="65" ht="15.75" customHeight="1">
      <c r="A65" s="293"/>
      <c r="B65" s="281" t="s">
        <v>82</v>
      </c>
      <c r="C65" s="42"/>
      <c r="D65" s="43"/>
      <c r="E65" s="325">
        <v>1.0</v>
      </c>
      <c r="F65" s="325" t="s">
        <v>45</v>
      </c>
      <c r="G65" s="290">
        <v>1.0</v>
      </c>
      <c r="H65" s="290">
        <v>20000.0</v>
      </c>
      <c r="I65" s="290"/>
      <c r="J65" s="290"/>
      <c r="K65" s="290">
        <f t="shared" si="31"/>
        <v>20000</v>
      </c>
      <c r="L65" s="291">
        <v>0.09</v>
      </c>
      <c r="M65" s="292">
        <f t="shared" si="32"/>
        <v>21978.02198</v>
      </c>
      <c r="N65" s="187"/>
      <c r="O65" s="60"/>
      <c r="P65" s="325">
        <v>1.0</v>
      </c>
      <c r="Q65" s="325" t="s">
        <v>45</v>
      </c>
      <c r="R65" s="290">
        <v>1.0</v>
      </c>
      <c r="S65" s="290">
        <v>20000.0</v>
      </c>
      <c r="T65" s="290"/>
      <c r="U65" s="290"/>
      <c r="V65" s="290">
        <f t="shared" si="33"/>
        <v>20000</v>
      </c>
      <c r="W65" s="291">
        <v>0.09</v>
      </c>
      <c r="X65" s="292">
        <f t="shared" si="34"/>
        <v>21978.02198</v>
      </c>
      <c r="Y65" s="290">
        <v>0.0</v>
      </c>
      <c r="Z65" s="291">
        <v>0.09</v>
      </c>
      <c r="AA65" s="292">
        <f t="shared" si="35"/>
        <v>0</v>
      </c>
    </row>
    <row r="66" ht="15.75" customHeight="1">
      <c r="A66" s="293"/>
      <c r="B66" s="328" t="s">
        <v>83</v>
      </c>
      <c r="C66" s="6"/>
      <c r="D66" s="166"/>
      <c r="E66" s="325">
        <v>1.0</v>
      </c>
      <c r="F66" s="312" t="s">
        <v>45</v>
      </c>
      <c r="G66" s="290">
        <v>1.0</v>
      </c>
      <c r="H66" s="290">
        <v>20000.0</v>
      </c>
      <c r="I66" s="290"/>
      <c r="J66" s="290">
        <v>4000.0</v>
      </c>
      <c r="K66" s="290">
        <f t="shared" si="31"/>
        <v>20000</v>
      </c>
      <c r="L66" s="291">
        <v>0.09</v>
      </c>
      <c r="M66" s="292">
        <f t="shared" si="32"/>
        <v>21978.02198</v>
      </c>
      <c r="N66" s="187"/>
      <c r="O66" s="60"/>
      <c r="P66" s="325">
        <v>1.0</v>
      </c>
      <c r="Q66" s="312" t="s">
        <v>45</v>
      </c>
      <c r="R66" s="290">
        <v>1.0</v>
      </c>
      <c r="S66" s="290">
        <v>20000.0</v>
      </c>
      <c r="T66" s="290"/>
      <c r="U66" s="290">
        <v>4000.0</v>
      </c>
      <c r="V66" s="290">
        <f t="shared" si="33"/>
        <v>20000</v>
      </c>
      <c r="W66" s="291">
        <v>0.09</v>
      </c>
      <c r="X66" s="292">
        <f t="shared" si="34"/>
        <v>21978.02198</v>
      </c>
      <c r="Y66" s="290">
        <v>0.0</v>
      </c>
      <c r="Z66" s="291">
        <v>0.09</v>
      </c>
      <c r="AA66" s="292">
        <f t="shared" si="35"/>
        <v>0</v>
      </c>
    </row>
    <row r="67" ht="15.75" customHeight="1">
      <c r="A67" s="293"/>
      <c r="B67" s="324" t="s">
        <v>76</v>
      </c>
      <c r="C67" s="152"/>
      <c r="D67" s="153"/>
      <c r="E67" s="312">
        <v>1.0</v>
      </c>
      <c r="F67" s="312" t="s">
        <v>49</v>
      </c>
      <c r="G67" s="313">
        <v>1.0</v>
      </c>
      <c r="H67" s="313"/>
      <c r="I67" s="313"/>
      <c r="J67" s="313">
        <v>8000.0</v>
      </c>
      <c r="K67" s="290">
        <f t="shared" si="31"/>
        <v>0</v>
      </c>
      <c r="L67" s="291">
        <v>0.09</v>
      </c>
      <c r="M67" s="292">
        <f t="shared" si="32"/>
        <v>0</v>
      </c>
      <c r="N67" s="187"/>
      <c r="O67" s="60"/>
      <c r="P67" s="312">
        <v>1.0</v>
      </c>
      <c r="Q67" s="312" t="s">
        <v>49</v>
      </c>
      <c r="R67" s="313">
        <v>1.0</v>
      </c>
      <c r="S67" s="313"/>
      <c r="T67" s="313"/>
      <c r="U67" s="313">
        <v>8000.0</v>
      </c>
      <c r="V67" s="290">
        <f t="shared" si="33"/>
        <v>0</v>
      </c>
      <c r="W67" s="291">
        <v>0.09</v>
      </c>
      <c r="X67" s="292">
        <f t="shared" si="34"/>
        <v>0</v>
      </c>
      <c r="Y67" s="290">
        <v>0.0</v>
      </c>
      <c r="Z67" s="291">
        <v>0.09</v>
      </c>
      <c r="AA67" s="292">
        <f t="shared" si="35"/>
        <v>0</v>
      </c>
    </row>
    <row r="68" ht="15.75" customHeight="1">
      <c r="A68" s="293"/>
      <c r="B68" s="324" t="s">
        <v>77</v>
      </c>
      <c r="C68" s="152"/>
      <c r="D68" s="153"/>
      <c r="E68" s="312">
        <v>1.0</v>
      </c>
      <c r="F68" s="312" t="s">
        <v>49</v>
      </c>
      <c r="G68" s="313">
        <v>1.0</v>
      </c>
      <c r="H68" s="313"/>
      <c r="I68" s="313"/>
      <c r="J68" s="313">
        <v>16000.0</v>
      </c>
      <c r="K68" s="290">
        <f t="shared" si="31"/>
        <v>0</v>
      </c>
      <c r="L68" s="291">
        <v>0.09</v>
      </c>
      <c r="M68" s="292">
        <f t="shared" si="32"/>
        <v>0</v>
      </c>
      <c r="N68" s="187"/>
      <c r="O68" s="60"/>
      <c r="P68" s="312">
        <v>1.0</v>
      </c>
      <c r="Q68" s="312" t="s">
        <v>49</v>
      </c>
      <c r="R68" s="313">
        <v>1.0</v>
      </c>
      <c r="S68" s="313"/>
      <c r="T68" s="313"/>
      <c r="U68" s="313">
        <v>16000.0</v>
      </c>
      <c r="V68" s="290">
        <f t="shared" si="33"/>
        <v>0</v>
      </c>
      <c r="W68" s="291">
        <v>0.09</v>
      </c>
      <c r="X68" s="292">
        <f t="shared" si="34"/>
        <v>0</v>
      </c>
      <c r="Y68" s="290">
        <v>0.0</v>
      </c>
      <c r="Z68" s="291">
        <v>0.09</v>
      </c>
      <c r="AA68" s="292">
        <f t="shared" si="35"/>
        <v>0</v>
      </c>
    </row>
    <row r="69" ht="15.75" customHeight="1">
      <c r="A69" s="293"/>
      <c r="B69" s="328" t="s">
        <v>84</v>
      </c>
      <c r="C69" s="6"/>
      <c r="D69" s="166"/>
      <c r="E69" s="312">
        <v>1.0</v>
      </c>
      <c r="F69" s="312" t="s">
        <v>45</v>
      </c>
      <c r="G69" s="313">
        <v>1.0</v>
      </c>
      <c r="H69" s="290">
        <v>14000.0</v>
      </c>
      <c r="I69" s="290"/>
      <c r="J69" s="290">
        <v>3200.0</v>
      </c>
      <c r="K69" s="290">
        <f t="shared" si="31"/>
        <v>14000</v>
      </c>
      <c r="L69" s="291">
        <v>0.09</v>
      </c>
      <c r="M69" s="292">
        <f t="shared" si="32"/>
        <v>15384.61538</v>
      </c>
      <c r="N69" s="187"/>
      <c r="O69" s="60"/>
      <c r="P69" s="312">
        <v>1.0</v>
      </c>
      <c r="Q69" s="312" t="s">
        <v>45</v>
      </c>
      <c r="R69" s="313">
        <v>1.0</v>
      </c>
      <c r="S69" s="290">
        <v>14000.0</v>
      </c>
      <c r="T69" s="290"/>
      <c r="U69" s="290">
        <v>3200.0</v>
      </c>
      <c r="V69" s="290">
        <f t="shared" si="33"/>
        <v>14000</v>
      </c>
      <c r="W69" s="291">
        <v>0.09</v>
      </c>
      <c r="X69" s="292">
        <f t="shared" si="34"/>
        <v>15384.61538</v>
      </c>
      <c r="Y69" s="290">
        <v>0.0</v>
      </c>
      <c r="Z69" s="291">
        <v>0.09</v>
      </c>
      <c r="AA69" s="292">
        <f t="shared" si="35"/>
        <v>0</v>
      </c>
    </row>
    <row r="70" ht="15.75" customHeight="1">
      <c r="A70" s="293"/>
      <c r="B70" s="324" t="s">
        <v>76</v>
      </c>
      <c r="C70" s="152"/>
      <c r="D70" s="153"/>
      <c r="E70" s="312">
        <v>1.0</v>
      </c>
      <c r="F70" s="312" t="s">
        <v>49</v>
      </c>
      <c r="G70" s="313">
        <v>1.0</v>
      </c>
      <c r="H70" s="313"/>
      <c r="I70" s="313"/>
      <c r="J70" s="313">
        <v>6400.0</v>
      </c>
      <c r="K70" s="290">
        <f t="shared" si="31"/>
        <v>0</v>
      </c>
      <c r="L70" s="291">
        <v>0.09</v>
      </c>
      <c r="M70" s="292">
        <f t="shared" si="32"/>
        <v>0</v>
      </c>
      <c r="N70" s="187"/>
      <c r="O70" s="60"/>
      <c r="P70" s="312">
        <v>1.0</v>
      </c>
      <c r="Q70" s="312" t="s">
        <v>49</v>
      </c>
      <c r="R70" s="313">
        <v>1.0</v>
      </c>
      <c r="S70" s="313"/>
      <c r="T70" s="313"/>
      <c r="U70" s="313">
        <v>6400.0</v>
      </c>
      <c r="V70" s="290">
        <f t="shared" si="33"/>
        <v>0</v>
      </c>
      <c r="W70" s="291">
        <v>0.09</v>
      </c>
      <c r="X70" s="292">
        <f t="shared" si="34"/>
        <v>0</v>
      </c>
      <c r="Y70" s="290">
        <v>0.0</v>
      </c>
      <c r="Z70" s="291">
        <v>0.09</v>
      </c>
      <c r="AA70" s="292">
        <f t="shared" si="35"/>
        <v>0</v>
      </c>
    </row>
    <row r="71" ht="15.75" customHeight="1">
      <c r="A71" s="293"/>
      <c r="B71" s="324" t="s">
        <v>77</v>
      </c>
      <c r="C71" s="152"/>
      <c r="D71" s="153"/>
      <c r="E71" s="312">
        <v>1.0</v>
      </c>
      <c r="F71" s="312" t="s">
        <v>49</v>
      </c>
      <c r="G71" s="313">
        <v>1.0</v>
      </c>
      <c r="H71" s="313"/>
      <c r="I71" s="313"/>
      <c r="J71" s="313">
        <v>12800.0</v>
      </c>
      <c r="K71" s="290">
        <f t="shared" si="31"/>
        <v>0</v>
      </c>
      <c r="L71" s="291">
        <v>0.09</v>
      </c>
      <c r="M71" s="292">
        <f t="shared" si="32"/>
        <v>0</v>
      </c>
      <c r="N71" s="187"/>
      <c r="O71" s="60"/>
      <c r="P71" s="312">
        <v>1.0</v>
      </c>
      <c r="Q71" s="312" t="s">
        <v>49</v>
      </c>
      <c r="R71" s="313">
        <v>1.0</v>
      </c>
      <c r="S71" s="313"/>
      <c r="T71" s="313"/>
      <c r="U71" s="313">
        <v>12800.0</v>
      </c>
      <c r="V71" s="290">
        <f t="shared" si="33"/>
        <v>0</v>
      </c>
      <c r="W71" s="291">
        <v>0.09</v>
      </c>
      <c r="X71" s="292">
        <f t="shared" si="34"/>
        <v>0</v>
      </c>
      <c r="Y71" s="290">
        <v>0.0</v>
      </c>
      <c r="Z71" s="291">
        <v>0.09</v>
      </c>
      <c r="AA71" s="292">
        <f t="shared" si="35"/>
        <v>0</v>
      </c>
    </row>
    <row r="72" ht="15.75" customHeight="1">
      <c r="A72" s="293"/>
      <c r="B72" s="330" t="s">
        <v>85</v>
      </c>
      <c r="D72" s="34"/>
      <c r="E72" s="312">
        <v>1.0</v>
      </c>
      <c r="F72" s="312" t="s">
        <v>45</v>
      </c>
      <c r="G72" s="313">
        <v>1.0</v>
      </c>
      <c r="H72" s="290">
        <v>14000.0</v>
      </c>
      <c r="I72" s="290"/>
      <c r="J72" s="290">
        <v>3200.0</v>
      </c>
      <c r="K72" s="290">
        <f t="shared" si="31"/>
        <v>14000</v>
      </c>
      <c r="L72" s="291">
        <v>0.09</v>
      </c>
      <c r="M72" s="292">
        <f t="shared" si="32"/>
        <v>15384.61538</v>
      </c>
      <c r="N72" s="187"/>
      <c r="O72" s="60"/>
      <c r="P72" s="312">
        <v>1.0</v>
      </c>
      <c r="Q72" s="312" t="s">
        <v>45</v>
      </c>
      <c r="R72" s="313">
        <v>1.0</v>
      </c>
      <c r="S72" s="290">
        <v>14000.0</v>
      </c>
      <c r="T72" s="290"/>
      <c r="U72" s="290">
        <v>3200.0</v>
      </c>
      <c r="V72" s="290">
        <f t="shared" si="33"/>
        <v>14000</v>
      </c>
      <c r="W72" s="291">
        <v>0.09</v>
      </c>
      <c r="X72" s="292">
        <f t="shared" si="34"/>
        <v>15384.61538</v>
      </c>
      <c r="Y72" s="290">
        <v>0.0</v>
      </c>
      <c r="Z72" s="291">
        <v>0.09</v>
      </c>
      <c r="AA72" s="292">
        <f t="shared" si="35"/>
        <v>0</v>
      </c>
    </row>
    <row r="73" ht="15.75" customHeight="1">
      <c r="A73" s="293"/>
      <c r="B73" s="324" t="s">
        <v>76</v>
      </c>
      <c r="C73" s="152"/>
      <c r="D73" s="153"/>
      <c r="E73" s="312">
        <v>1.0</v>
      </c>
      <c r="F73" s="312" t="s">
        <v>49</v>
      </c>
      <c r="G73" s="313">
        <v>1.0</v>
      </c>
      <c r="H73" s="313"/>
      <c r="I73" s="313"/>
      <c r="J73" s="313">
        <v>6400.0</v>
      </c>
      <c r="K73" s="290">
        <f t="shared" si="31"/>
        <v>0</v>
      </c>
      <c r="L73" s="291">
        <v>0.09</v>
      </c>
      <c r="M73" s="292">
        <f t="shared" si="32"/>
        <v>0</v>
      </c>
      <c r="N73" s="187"/>
      <c r="O73" s="60"/>
      <c r="P73" s="312">
        <v>1.0</v>
      </c>
      <c r="Q73" s="312" t="s">
        <v>49</v>
      </c>
      <c r="R73" s="313">
        <v>1.0</v>
      </c>
      <c r="S73" s="313"/>
      <c r="T73" s="313"/>
      <c r="U73" s="313">
        <v>6400.0</v>
      </c>
      <c r="V73" s="290">
        <f t="shared" si="33"/>
        <v>0</v>
      </c>
      <c r="W73" s="291">
        <v>0.09</v>
      </c>
      <c r="X73" s="292">
        <f t="shared" si="34"/>
        <v>0</v>
      </c>
      <c r="Y73" s="290">
        <v>0.0</v>
      </c>
      <c r="Z73" s="291">
        <v>0.09</v>
      </c>
      <c r="AA73" s="292">
        <f t="shared" si="35"/>
        <v>0</v>
      </c>
    </row>
    <row r="74" ht="15.75" customHeight="1">
      <c r="A74" s="293"/>
      <c r="B74" s="324" t="s">
        <v>77</v>
      </c>
      <c r="C74" s="152"/>
      <c r="D74" s="153"/>
      <c r="E74" s="312">
        <v>1.0</v>
      </c>
      <c r="F74" s="312" t="s">
        <v>49</v>
      </c>
      <c r="G74" s="313">
        <v>1.0</v>
      </c>
      <c r="H74" s="313"/>
      <c r="I74" s="313"/>
      <c r="J74" s="313">
        <v>12800.0</v>
      </c>
      <c r="K74" s="290">
        <f t="shared" si="31"/>
        <v>0</v>
      </c>
      <c r="L74" s="291">
        <v>0.09</v>
      </c>
      <c r="M74" s="292">
        <f t="shared" si="32"/>
        <v>0</v>
      </c>
      <c r="N74" s="187"/>
      <c r="O74" s="60"/>
      <c r="P74" s="312">
        <v>1.0</v>
      </c>
      <c r="Q74" s="312" t="s">
        <v>49</v>
      </c>
      <c r="R74" s="313">
        <v>1.0</v>
      </c>
      <c r="S74" s="313"/>
      <c r="T74" s="313"/>
      <c r="U74" s="313">
        <v>12800.0</v>
      </c>
      <c r="V74" s="290">
        <f t="shared" si="33"/>
        <v>0</v>
      </c>
      <c r="W74" s="291">
        <v>0.09</v>
      </c>
      <c r="X74" s="292">
        <f t="shared" si="34"/>
        <v>0</v>
      </c>
      <c r="Y74" s="290">
        <v>0.0</v>
      </c>
      <c r="Z74" s="291">
        <v>0.09</v>
      </c>
      <c r="AA74" s="292">
        <f t="shared" si="35"/>
        <v>0</v>
      </c>
    </row>
    <row r="75" ht="15.75" customHeight="1">
      <c r="A75" s="293"/>
      <c r="B75" s="328" t="s">
        <v>86</v>
      </c>
      <c r="C75" s="6"/>
      <c r="D75" s="166"/>
      <c r="E75" s="312">
        <v>10.0</v>
      </c>
      <c r="F75" s="312" t="s">
        <v>45</v>
      </c>
      <c r="G75" s="313">
        <v>1.0</v>
      </c>
      <c r="H75" s="313">
        <v>12000.0</v>
      </c>
      <c r="I75" s="313"/>
      <c r="J75" s="313">
        <v>2600.0</v>
      </c>
      <c r="K75" s="290">
        <f t="shared" si="31"/>
        <v>120000</v>
      </c>
      <c r="L75" s="291">
        <v>0.09</v>
      </c>
      <c r="M75" s="292">
        <f t="shared" si="32"/>
        <v>131868.1319</v>
      </c>
      <c r="N75" s="187"/>
      <c r="O75" s="60"/>
      <c r="P75" s="312">
        <v>10.0</v>
      </c>
      <c r="Q75" s="312" t="s">
        <v>45</v>
      </c>
      <c r="R75" s="313">
        <v>1.0</v>
      </c>
      <c r="S75" s="313">
        <v>12000.0</v>
      </c>
      <c r="T75" s="313"/>
      <c r="U75" s="313">
        <v>2600.0</v>
      </c>
      <c r="V75" s="290">
        <f t="shared" si="33"/>
        <v>120000</v>
      </c>
      <c r="W75" s="291">
        <v>0.09</v>
      </c>
      <c r="X75" s="292">
        <f t="shared" si="34"/>
        <v>131868.1319</v>
      </c>
      <c r="Y75" s="290">
        <v>0.0</v>
      </c>
      <c r="Z75" s="291">
        <v>0.09</v>
      </c>
      <c r="AA75" s="292">
        <f t="shared" si="35"/>
        <v>0</v>
      </c>
    </row>
    <row r="76" ht="15.75" customHeight="1">
      <c r="A76" s="293"/>
      <c r="B76" s="324" t="s">
        <v>76</v>
      </c>
      <c r="C76" s="152"/>
      <c r="D76" s="153"/>
      <c r="E76" s="312">
        <v>8.0</v>
      </c>
      <c r="F76" s="312" t="s">
        <v>49</v>
      </c>
      <c r="G76" s="313">
        <v>1.0</v>
      </c>
      <c r="H76" s="313"/>
      <c r="I76" s="313"/>
      <c r="J76" s="313">
        <v>5200.0</v>
      </c>
      <c r="K76" s="290">
        <f t="shared" si="31"/>
        <v>0</v>
      </c>
      <c r="L76" s="291">
        <v>0.09</v>
      </c>
      <c r="M76" s="292">
        <f t="shared" si="32"/>
        <v>0</v>
      </c>
      <c r="N76" s="187"/>
      <c r="O76" s="60"/>
      <c r="P76" s="312">
        <v>8.0</v>
      </c>
      <c r="Q76" s="312" t="s">
        <v>49</v>
      </c>
      <c r="R76" s="313">
        <v>1.0</v>
      </c>
      <c r="S76" s="313"/>
      <c r="T76" s="313"/>
      <c r="U76" s="313">
        <v>5200.0</v>
      </c>
      <c r="V76" s="290">
        <f t="shared" si="33"/>
        <v>0</v>
      </c>
      <c r="W76" s="291">
        <v>0.09</v>
      </c>
      <c r="X76" s="292">
        <f t="shared" si="34"/>
        <v>0</v>
      </c>
      <c r="Y76" s="290">
        <v>0.0</v>
      </c>
      <c r="Z76" s="291">
        <v>0.09</v>
      </c>
      <c r="AA76" s="292">
        <f t="shared" si="35"/>
        <v>0</v>
      </c>
    </row>
    <row r="77" ht="15.75" customHeight="1">
      <c r="A77" s="293"/>
      <c r="B77" s="324" t="s">
        <v>77</v>
      </c>
      <c r="C77" s="152"/>
      <c r="D77" s="153"/>
      <c r="E77" s="312">
        <v>1.0</v>
      </c>
      <c r="F77" s="312" t="s">
        <v>49</v>
      </c>
      <c r="G77" s="313">
        <v>1.0</v>
      </c>
      <c r="H77" s="313"/>
      <c r="I77" s="313"/>
      <c r="J77" s="313">
        <v>10400.0</v>
      </c>
      <c r="K77" s="290">
        <f t="shared" si="31"/>
        <v>0</v>
      </c>
      <c r="L77" s="291">
        <v>0.09</v>
      </c>
      <c r="M77" s="292">
        <f t="shared" si="32"/>
        <v>0</v>
      </c>
      <c r="N77" s="187"/>
      <c r="O77" s="60"/>
      <c r="P77" s="312">
        <v>1.0</v>
      </c>
      <c r="Q77" s="312" t="s">
        <v>49</v>
      </c>
      <c r="R77" s="313">
        <v>1.0</v>
      </c>
      <c r="S77" s="313"/>
      <c r="T77" s="313"/>
      <c r="U77" s="313">
        <v>10400.0</v>
      </c>
      <c r="V77" s="290">
        <f t="shared" si="33"/>
        <v>0</v>
      </c>
      <c r="W77" s="291">
        <v>0.09</v>
      </c>
      <c r="X77" s="292">
        <f t="shared" si="34"/>
        <v>0</v>
      </c>
      <c r="Y77" s="290">
        <v>0.0</v>
      </c>
      <c r="Z77" s="291">
        <v>0.09</v>
      </c>
      <c r="AA77" s="292">
        <f t="shared" si="35"/>
        <v>0</v>
      </c>
    </row>
    <row r="78" ht="15.75" customHeight="1">
      <c r="A78" s="293"/>
      <c r="B78" s="281" t="s">
        <v>87</v>
      </c>
      <c r="C78" s="42"/>
      <c r="D78" s="43"/>
      <c r="E78" s="312">
        <v>1.0</v>
      </c>
      <c r="F78" s="312" t="s">
        <v>45</v>
      </c>
      <c r="G78" s="313">
        <v>1.0</v>
      </c>
      <c r="H78" s="290">
        <v>14000.0</v>
      </c>
      <c r="I78" s="290"/>
      <c r="J78" s="290">
        <v>2900.0</v>
      </c>
      <c r="K78" s="290">
        <f t="shared" si="31"/>
        <v>14000</v>
      </c>
      <c r="L78" s="291">
        <v>0.09</v>
      </c>
      <c r="M78" s="292">
        <f t="shared" si="32"/>
        <v>15384.61538</v>
      </c>
      <c r="N78" s="187"/>
      <c r="O78" s="60"/>
      <c r="P78" s="312">
        <v>1.0</v>
      </c>
      <c r="Q78" s="312" t="s">
        <v>45</v>
      </c>
      <c r="R78" s="313">
        <v>1.0</v>
      </c>
      <c r="S78" s="290">
        <v>14000.0</v>
      </c>
      <c r="T78" s="290"/>
      <c r="U78" s="290">
        <v>2900.0</v>
      </c>
      <c r="V78" s="290">
        <f t="shared" si="33"/>
        <v>14000</v>
      </c>
      <c r="W78" s="291">
        <v>0.09</v>
      </c>
      <c r="X78" s="292">
        <f t="shared" si="34"/>
        <v>15384.61538</v>
      </c>
      <c r="Y78" s="290">
        <v>0.0</v>
      </c>
      <c r="Z78" s="291">
        <v>0.09</v>
      </c>
      <c r="AA78" s="292">
        <f t="shared" si="35"/>
        <v>0</v>
      </c>
    </row>
    <row r="79" ht="15.75" customHeight="1">
      <c r="A79" s="293"/>
      <c r="B79" s="324" t="s">
        <v>76</v>
      </c>
      <c r="C79" s="152"/>
      <c r="D79" s="153"/>
      <c r="E79" s="312">
        <v>1.0</v>
      </c>
      <c r="F79" s="312" t="s">
        <v>49</v>
      </c>
      <c r="G79" s="313">
        <v>1.0</v>
      </c>
      <c r="H79" s="290"/>
      <c r="I79" s="290"/>
      <c r="J79" s="290">
        <v>5800.0</v>
      </c>
      <c r="K79" s="290">
        <f t="shared" si="31"/>
        <v>0</v>
      </c>
      <c r="L79" s="291">
        <v>0.09</v>
      </c>
      <c r="M79" s="292">
        <f t="shared" si="32"/>
        <v>0</v>
      </c>
      <c r="N79" s="187"/>
      <c r="O79" s="60"/>
      <c r="P79" s="312">
        <v>1.0</v>
      </c>
      <c r="Q79" s="312" t="s">
        <v>49</v>
      </c>
      <c r="R79" s="313">
        <v>1.0</v>
      </c>
      <c r="S79" s="290"/>
      <c r="T79" s="290"/>
      <c r="U79" s="290">
        <v>5800.0</v>
      </c>
      <c r="V79" s="290">
        <f t="shared" si="33"/>
        <v>0</v>
      </c>
      <c r="W79" s="291">
        <v>0.09</v>
      </c>
      <c r="X79" s="292">
        <f t="shared" si="34"/>
        <v>0</v>
      </c>
      <c r="Y79" s="290">
        <v>0.0</v>
      </c>
      <c r="Z79" s="291">
        <v>0.09</v>
      </c>
      <c r="AA79" s="292">
        <f t="shared" si="35"/>
        <v>0</v>
      </c>
    </row>
    <row r="80" ht="15.75" customHeight="1">
      <c r="A80" s="293"/>
      <c r="B80" s="324" t="s">
        <v>77</v>
      </c>
      <c r="C80" s="152"/>
      <c r="D80" s="153"/>
      <c r="E80" s="312">
        <v>1.0</v>
      </c>
      <c r="F80" s="312" t="s">
        <v>49</v>
      </c>
      <c r="G80" s="313">
        <v>1.0</v>
      </c>
      <c r="H80" s="290"/>
      <c r="I80" s="290"/>
      <c r="J80" s="290">
        <v>11600.0</v>
      </c>
      <c r="K80" s="290">
        <f t="shared" si="31"/>
        <v>0</v>
      </c>
      <c r="L80" s="291">
        <v>0.09</v>
      </c>
      <c r="M80" s="292">
        <f t="shared" si="32"/>
        <v>0</v>
      </c>
      <c r="N80" s="187"/>
      <c r="O80" s="60"/>
      <c r="P80" s="312">
        <v>1.0</v>
      </c>
      <c r="Q80" s="312" t="s">
        <v>49</v>
      </c>
      <c r="R80" s="313">
        <v>1.0</v>
      </c>
      <c r="S80" s="290"/>
      <c r="T80" s="290"/>
      <c r="U80" s="290">
        <v>11600.0</v>
      </c>
      <c r="V80" s="290">
        <f t="shared" si="33"/>
        <v>0</v>
      </c>
      <c r="W80" s="291">
        <v>0.09</v>
      </c>
      <c r="X80" s="292">
        <f t="shared" si="34"/>
        <v>0</v>
      </c>
      <c r="Y80" s="290">
        <v>0.0</v>
      </c>
      <c r="Z80" s="291">
        <v>0.09</v>
      </c>
      <c r="AA80" s="292">
        <f t="shared" si="35"/>
        <v>0</v>
      </c>
    </row>
    <row r="81" ht="15.75" customHeight="1">
      <c r="A81" s="293"/>
      <c r="B81" s="324" t="s">
        <v>80</v>
      </c>
      <c r="C81" s="152"/>
      <c r="D81" s="153"/>
      <c r="E81" s="325">
        <v>1.0</v>
      </c>
      <c r="F81" s="325" t="s">
        <v>45</v>
      </c>
      <c r="G81" s="290">
        <v>1.0</v>
      </c>
      <c r="H81" s="290">
        <v>11600.0</v>
      </c>
      <c r="I81" s="290"/>
      <c r="J81" s="290"/>
      <c r="K81" s="290">
        <f t="shared" si="31"/>
        <v>11600</v>
      </c>
      <c r="L81" s="291">
        <v>0.09</v>
      </c>
      <c r="M81" s="292">
        <f t="shared" si="32"/>
        <v>12747.25275</v>
      </c>
      <c r="N81" s="187"/>
      <c r="O81" s="60"/>
      <c r="P81" s="325">
        <v>1.0</v>
      </c>
      <c r="Q81" s="325" t="s">
        <v>45</v>
      </c>
      <c r="R81" s="290">
        <v>1.0</v>
      </c>
      <c r="S81" s="290">
        <v>11600.0</v>
      </c>
      <c r="T81" s="290"/>
      <c r="U81" s="290"/>
      <c r="V81" s="290">
        <f t="shared" si="33"/>
        <v>11600</v>
      </c>
      <c r="W81" s="291">
        <v>0.09</v>
      </c>
      <c r="X81" s="292">
        <f t="shared" si="34"/>
        <v>12747.25275</v>
      </c>
      <c r="Y81" s="290">
        <v>0.0</v>
      </c>
      <c r="Z81" s="291">
        <v>0.09</v>
      </c>
      <c r="AA81" s="292">
        <f t="shared" si="35"/>
        <v>0</v>
      </c>
    </row>
    <row r="82" ht="15.75" customHeight="1">
      <c r="A82" s="293"/>
      <c r="B82" s="281" t="s">
        <v>88</v>
      </c>
      <c r="C82" s="42"/>
      <c r="D82" s="43"/>
      <c r="E82" s="312">
        <v>1.0</v>
      </c>
      <c r="F82" s="312" t="s">
        <v>45</v>
      </c>
      <c r="G82" s="290">
        <v>1.0</v>
      </c>
      <c r="H82" s="290">
        <v>25000.0</v>
      </c>
      <c r="I82" s="290"/>
      <c r="J82" s="290">
        <v>5000.0</v>
      </c>
      <c r="K82" s="290">
        <f t="shared" si="31"/>
        <v>25000</v>
      </c>
      <c r="L82" s="291">
        <v>0.09</v>
      </c>
      <c r="M82" s="292">
        <f t="shared" si="32"/>
        <v>27472.52747</v>
      </c>
      <c r="N82" s="187"/>
      <c r="O82" s="60"/>
      <c r="P82" s="312">
        <v>1.0</v>
      </c>
      <c r="Q82" s="312" t="s">
        <v>45</v>
      </c>
      <c r="R82" s="290">
        <v>1.0</v>
      </c>
      <c r="S82" s="290">
        <v>25000.0</v>
      </c>
      <c r="T82" s="290"/>
      <c r="U82" s="290">
        <v>5000.0</v>
      </c>
      <c r="V82" s="290">
        <f t="shared" si="33"/>
        <v>25000</v>
      </c>
      <c r="W82" s="291">
        <v>0.09</v>
      </c>
      <c r="X82" s="292">
        <f t="shared" si="34"/>
        <v>27472.52747</v>
      </c>
      <c r="Y82" s="290">
        <v>0.0</v>
      </c>
      <c r="Z82" s="291">
        <v>0.09</v>
      </c>
      <c r="AA82" s="292">
        <f t="shared" si="35"/>
        <v>0</v>
      </c>
    </row>
    <row r="83" ht="15.75" customHeight="1">
      <c r="A83" s="293"/>
      <c r="B83" s="324" t="s">
        <v>76</v>
      </c>
      <c r="C83" s="152"/>
      <c r="D83" s="153"/>
      <c r="E83" s="312">
        <v>1.0</v>
      </c>
      <c r="F83" s="312" t="s">
        <v>49</v>
      </c>
      <c r="G83" s="313">
        <v>1.0</v>
      </c>
      <c r="H83" s="313"/>
      <c r="I83" s="313"/>
      <c r="J83" s="313">
        <v>20000.0</v>
      </c>
      <c r="K83" s="290">
        <f t="shared" si="31"/>
        <v>0</v>
      </c>
      <c r="L83" s="291">
        <v>0.09</v>
      </c>
      <c r="M83" s="292">
        <f t="shared" si="32"/>
        <v>0</v>
      </c>
      <c r="N83" s="187"/>
      <c r="O83" s="60"/>
      <c r="P83" s="312">
        <v>1.0</v>
      </c>
      <c r="Q83" s="312" t="s">
        <v>49</v>
      </c>
      <c r="R83" s="313">
        <v>1.0</v>
      </c>
      <c r="S83" s="313"/>
      <c r="T83" s="313"/>
      <c r="U83" s="313">
        <v>20000.0</v>
      </c>
      <c r="V83" s="290">
        <f t="shared" si="33"/>
        <v>0</v>
      </c>
      <c r="W83" s="291">
        <v>0.09</v>
      </c>
      <c r="X83" s="292">
        <f t="shared" si="34"/>
        <v>0</v>
      </c>
      <c r="Y83" s="290">
        <v>0.0</v>
      </c>
      <c r="Z83" s="291">
        <v>0.09</v>
      </c>
      <c r="AA83" s="292">
        <f t="shared" si="35"/>
        <v>0</v>
      </c>
    </row>
    <row r="84" ht="15.75" customHeight="1">
      <c r="A84" s="293"/>
      <c r="B84" s="324" t="s">
        <v>77</v>
      </c>
      <c r="C84" s="152"/>
      <c r="D84" s="153"/>
      <c r="E84" s="312">
        <v>1.0</v>
      </c>
      <c r="F84" s="312" t="s">
        <v>49</v>
      </c>
      <c r="G84" s="313">
        <v>1.0</v>
      </c>
      <c r="H84" s="313"/>
      <c r="I84" s="313"/>
      <c r="J84" s="313">
        <v>12800.0</v>
      </c>
      <c r="K84" s="290">
        <f t="shared" si="31"/>
        <v>0</v>
      </c>
      <c r="L84" s="291">
        <v>0.09</v>
      </c>
      <c r="M84" s="292">
        <f t="shared" si="32"/>
        <v>0</v>
      </c>
      <c r="N84" s="187"/>
      <c r="O84" s="60"/>
      <c r="P84" s="312">
        <v>1.0</v>
      </c>
      <c r="Q84" s="312" t="s">
        <v>49</v>
      </c>
      <c r="R84" s="313">
        <v>1.0</v>
      </c>
      <c r="S84" s="313"/>
      <c r="T84" s="313"/>
      <c r="U84" s="313">
        <v>40000.0</v>
      </c>
      <c r="V84" s="290">
        <f t="shared" si="33"/>
        <v>0</v>
      </c>
      <c r="W84" s="291">
        <v>0.09</v>
      </c>
      <c r="X84" s="292">
        <f t="shared" si="34"/>
        <v>0</v>
      </c>
      <c r="Y84" s="290">
        <v>0.0</v>
      </c>
      <c r="Z84" s="291">
        <v>0.09</v>
      </c>
      <c r="AA84" s="292">
        <f t="shared" si="35"/>
        <v>0</v>
      </c>
    </row>
    <row r="85" ht="15.75" customHeight="1">
      <c r="A85" s="295"/>
      <c r="B85" s="322" t="s">
        <v>89</v>
      </c>
      <c r="C85" s="70"/>
      <c r="D85" s="71"/>
      <c r="E85" s="326">
        <v>1.0</v>
      </c>
      <c r="F85" s="312" t="s">
        <v>45</v>
      </c>
      <c r="G85" s="327">
        <v>1.0</v>
      </c>
      <c r="H85" s="313">
        <v>70000.0</v>
      </c>
      <c r="I85" s="313"/>
      <c r="J85" s="313">
        <v>14000.0</v>
      </c>
      <c r="K85" s="313">
        <f t="shared" si="31"/>
        <v>70000</v>
      </c>
      <c r="L85" s="291">
        <v>0.09</v>
      </c>
      <c r="M85" s="292"/>
      <c r="N85" s="187"/>
      <c r="O85" s="60"/>
      <c r="P85" s="326">
        <v>1.0</v>
      </c>
      <c r="Q85" s="312" t="s">
        <v>45</v>
      </c>
      <c r="R85" s="327">
        <v>1.0</v>
      </c>
      <c r="S85" s="327">
        <v>70000.0</v>
      </c>
      <c r="T85" s="327"/>
      <c r="U85" s="327">
        <v>14000.0</v>
      </c>
      <c r="V85" s="290">
        <f t="shared" si="33"/>
        <v>70000</v>
      </c>
      <c r="W85" s="291">
        <v>0.09</v>
      </c>
      <c r="X85" s="292">
        <f t="shared" si="34"/>
        <v>76923.07692</v>
      </c>
      <c r="Y85" s="290">
        <v>0.0</v>
      </c>
      <c r="Z85" s="291">
        <v>0.09</v>
      </c>
      <c r="AA85" s="292">
        <f t="shared" si="35"/>
        <v>0</v>
      </c>
    </row>
    <row r="86" ht="15.75" customHeight="1">
      <c r="A86" s="295"/>
      <c r="B86" s="324" t="s">
        <v>76</v>
      </c>
      <c r="C86" s="152"/>
      <c r="D86" s="153"/>
      <c r="E86" s="312">
        <v>1.0</v>
      </c>
      <c r="F86" s="312" t="s">
        <v>49</v>
      </c>
      <c r="G86" s="313">
        <v>1.0</v>
      </c>
      <c r="H86" s="313"/>
      <c r="I86" s="313"/>
      <c r="J86" s="313"/>
      <c r="K86" s="290">
        <f t="shared" si="31"/>
        <v>0</v>
      </c>
      <c r="L86" s="291">
        <v>0.09</v>
      </c>
      <c r="M86" s="292"/>
      <c r="N86" s="187"/>
      <c r="O86" s="60"/>
      <c r="P86" s="312">
        <v>1.0</v>
      </c>
      <c r="Q86" s="312" t="s">
        <v>49</v>
      </c>
      <c r="R86" s="313">
        <v>1.0</v>
      </c>
      <c r="S86" s="313"/>
      <c r="T86" s="313"/>
      <c r="U86" s="313"/>
      <c r="V86" s="290">
        <f t="shared" si="33"/>
        <v>0</v>
      </c>
      <c r="W86" s="291">
        <v>0.09</v>
      </c>
      <c r="X86" s="292">
        <f t="shared" si="34"/>
        <v>0</v>
      </c>
      <c r="Y86" s="290">
        <v>0.0</v>
      </c>
      <c r="Z86" s="291">
        <v>0.09</v>
      </c>
      <c r="AA86" s="292">
        <f t="shared" si="35"/>
        <v>0</v>
      </c>
    </row>
    <row r="87" ht="15.75" customHeight="1">
      <c r="A87" s="295"/>
      <c r="B87" s="324" t="s">
        <v>77</v>
      </c>
      <c r="C87" s="152"/>
      <c r="D87" s="153"/>
      <c r="E87" s="312">
        <v>1.0</v>
      </c>
      <c r="F87" s="312" t="s">
        <v>49</v>
      </c>
      <c r="G87" s="313">
        <v>1.0</v>
      </c>
      <c r="H87" s="313"/>
      <c r="I87" s="313"/>
      <c r="J87" s="313"/>
      <c r="K87" s="290">
        <f t="shared" si="31"/>
        <v>0</v>
      </c>
      <c r="L87" s="291">
        <v>0.09</v>
      </c>
      <c r="M87" s="292"/>
      <c r="N87" s="187"/>
      <c r="O87" s="60"/>
      <c r="P87" s="312">
        <v>1.0</v>
      </c>
      <c r="Q87" s="312" t="s">
        <v>49</v>
      </c>
      <c r="R87" s="313">
        <v>1.0</v>
      </c>
      <c r="S87" s="313"/>
      <c r="T87" s="313"/>
      <c r="U87" s="313"/>
      <c r="V87" s="290">
        <f t="shared" si="33"/>
        <v>0</v>
      </c>
      <c r="W87" s="291">
        <v>0.09</v>
      </c>
      <c r="X87" s="292">
        <f t="shared" si="34"/>
        <v>0</v>
      </c>
      <c r="Y87" s="290">
        <v>0.0</v>
      </c>
      <c r="Z87" s="291">
        <v>0.09</v>
      </c>
      <c r="AA87" s="292">
        <f t="shared" si="35"/>
        <v>0</v>
      </c>
    </row>
    <row r="88" ht="15.75" customHeight="1">
      <c r="A88" s="293"/>
      <c r="B88" s="322" t="s">
        <v>90</v>
      </c>
      <c r="C88" s="70"/>
      <c r="D88" s="71"/>
      <c r="E88" s="326">
        <v>1.0</v>
      </c>
      <c r="F88" s="312" t="s">
        <v>45</v>
      </c>
      <c r="G88" s="327">
        <v>1.0</v>
      </c>
      <c r="H88" s="313">
        <v>70000.0</v>
      </c>
      <c r="I88" s="313"/>
      <c r="J88" s="313">
        <v>14000.0</v>
      </c>
      <c r="K88" s="290">
        <f t="shared" si="31"/>
        <v>70000</v>
      </c>
      <c r="L88" s="291">
        <v>0.09</v>
      </c>
      <c r="M88" s="292">
        <f t="shared" ref="M88:M90" si="36">K88/(1-L88)</f>
        <v>76923.07692</v>
      </c>
      <c r="N88" s="187"/>
      <c r="O88" s="60"/>
      <c r="P88" s="326">
        <v>1.0</v>
      </c>
      <c r="Q88" s="312" t="s">
        <v>45</v>
      </c>
      <c r="R88" s="327">
        <v>1.0</v>
      </c>
      <c r="S88" s="327">
        <v>70000.0</v>
      </c>
      <c r="T88" s="327"/>
      <c r="U88" s="327">
        <v>14000.0</v>
      </c>
      <c r="V88" s="290">
        <f t="shared" si="33"/>
        <v>70000</v>
      </c>
      <c r="W88" s="291">
        <v>0.09</v>
      </c>
      <c r="X88" s="292">
        <f t="shared" si="34"/>
        <v>76923.07692</v>
      </c>
      <c r="Y88" s="290">
        <v>0.0</v>
      </c>
      <c r="Z88" s="291">
        <v>0.09</v>
      </c>
      <c r="AA88" s="292">
        <f t="shared" si="35"/>
        <v>0</v>
      </c>
    </row>
    <row r="89" ht="15.75" customHeight="1">
      <c r="A89" s="293"/>
      <c r="B89" s="324" t="s">
        <v>91</v>
      </c>
      <c r="C89" s="152"/>
      <c r="D89" s="153"/>
      <c r="E89" s="312">
        <v>1.0</v>
      </c>
      <c r="F89" s="312" t="s">
        <v>49</v>
      </c>
      <c r="G89" s="313">
        <v>1.0</v>
      </c>
      <c r="H89" s="313"/>
      <c r="I89" s="313"/>
      <c r="J89" s="313"/>
      <c r="K89" s="290">
        <f t="shared" si="31"/>
        <v>0</v>
      </c>
      <c r="L89" s="291">
        <v>0.09</v>
      </c>
      <c r="M89" s="292">
        <f t="shared" si="36"/>
        <v>0</v>
      </c>
      <c r="N89" s="187"/>
      <c r="O89" s="60"/>
      <c r="P89" s="312">
        <v>1.0</v>
      </c>
      <c r="Q89" s="312" t="s">
        <v>49</v>
      </c>
      <c r="R89" s="313">
        <v>1.0</v>
      </c>
      <c r="S89" s="313"/>
      <c r="T89" s="313"/>
      <c r="U89" s="313">
        <v>36400.0</v>
      </c>
      <c r="V89" s="290">
        <f t="shared" si="33"/>
        <v>0</v>
      </c>
      <c r="W89" s="291">
        <v>0.09</v>
      </c>
      <c r="X89" s="292">
        <f t="shared" si="34"/>
        <v>0</v>
      </c>
      <c r="Y89" s="290">
        <v>0.0</v>
      </c>
      <c r="Z89" s="291">
        <v>0.09</v>
      </c>
      <c r="AA89" s="292">
        <f t="shared" si="35"/>
        <v>0</v>
      </c>
    </row>
    <row r="90" ht="15.75" customHeight="1">
      <c r="A90" s="293"/>
      <c r="B90" s="324" t="s">
        <v>92</v>
      </c>
      <c r="C90" s="152"/>
      <c r="D90" s="153"/>
      <c r="E90" s="312">
        <v>1.0</v>
      </c>
      <c r="F90" s="312" t="s">
        <v>49</v>
      </c>
      <c r="G90" s="313">
        <v>1.0</v>
      </c>
      <c r="H90" s="313"/>
      <c r="I90" s="313"/>
      <c r="J90" s="313"/>
      <c r="K90" s="290">
        <f t="shared" si="31"/>
        <v>0</v>
      </c>
      <c r="L90" s="291">
        <v>0.09</v>
      </c>
      <c r="M90" s="292">
        <f t="shared" si="36"/>
        <v>0</v>
      </c>
      <c r="N90" s="187"/>
      <c r="O90" s="60"/>
      <c r="P90" s="312">
        <v>1.0</v>
      </c>
      <c r="Q90" s="312" t="s">
        <v>49</v>
      </c>
      <c r="R90" s="313">
        <v>1.0</v>
      </c>
      <c r="S90" s="313"/>
      <c r="T90" s="313"/>
      <c r="U90" s="313">
        <v>72800.0</v>
      </c>
      <c r="V90" s="290">
        <f t="shared" si="33"/>
        <v>0</v>
      </c>
      <c r="W90" s="291">
        <v>0.09</v>
      </c>
      <c r="X90" s="292">
        <f t="shared" si="34"/>
        <v>0</v>
      </c>
      <c r="Y90" s="290">
        <v>0.0</v>
      </c>
      <c r="Z90" s="291">
        <v>0.09</v>
      </c>
      <c r="AA90" s="292">
        <f t="shared" si="35"/>
        <v>0</v>
      </c>
    </row>
    <row r="91" ht="15.75" customHeight="1">
      <c r="A91" s="314"/>
      <c r="B91" s="331" t="s">
        <v>93</v>
      </c>
      <c r="C91" s="171"/>
      <c r="D91" s="172"/>
      <c r="E91" s="159"/>
      <c r="F91" s="160"/>
      <c r="G91" s="161"/>
      <c r="H91" s="161"/>
      <c r="I91" s="161"/>
      <c r="J91" s="161"/>
      <c r="K91" s="161"/>
      <c r="L91" s="161"/>
      <c r="M91" s="162"/>
      <c r="N91" s="164"/>
      <c r="O91" s="60"/>
      <c r="P91" s="160"/>
      <c r="Q91" s="160"/>
      <c r="R91" s="161"/>
      <c r="S91" s="161"/>
      <c r="T91" s="161"/>
      <c r="U91" s="161"/>
      <c r="V91" s="161"/>
      <c r="W91" s="161"/>
      <c r="X91" s="162"/>
      <c r="Y91" s="162"/>
      <c r="Z91" s="161"/>
      <c r="AA91" s="162"/>
    </row>
    <row r="92" ht="15.75" customHeight="1">
      <c r="A92" s="295"/>
      <c r="B92" s="324" t="s">
        <v>94</v>
      </c>
      <c r="C92" s="152"/>
      <c r="D92" s="153"/>
      <c r="E92" s="312">
        <v>1.0</v>
      </c>
      <c r="F92" s="312" t="s">
        <v>45</v>
      </c>
      <c r="G92" s="313">
        <v>1.0</v>
      </c>
      <c r="H92" s="313"/>
      <c r="I92" s="313"/>
      <c r="J92" s="313"/>
      <c r="K92" s="290">
        <f t="shared" ref="K92:K93" si="37">(E92*G92*H92)+(I92*J92*E92*G92)</f>
        <v>0</v>
      </c>
      <c r="L92" s="291">
        <v>0.09</v>
      </c>
      <c r="M92" s="292">
        <f t="shared" ref="M92:M93" si="38">K92/(1-L92)</f>
        <v>0</v>
      </c>
      <c r="N92" s="187"/>
      <c r="O92" s="60"/>
      <c r="P92" s="312">
        <v>1.0</v>
      </c>
      <c r="Q92" s="312" t="s">
        <v>45</v>
      </c>
      <c r="R92" s="313">
        <v>1.0</v>
      </c>
      <c r="S92" s="313"/>
      <c r="T92" s="313"/>
      <c r="U92" s="313"/>
      <c r="V92" s="290">
        <f t="shared" ref="V92:V93" si="39">(P92*R92*S92)+(T92*U92*P92*R92)</f>
        <v>0</v>
      </c>
      <c r="W92" s="291">
        <v>0.09</v>
      </c>
      <c r="X92" s="292">
        <f t="shared" ref="X92:X93" si="40">V92/(1-W92)</f>
        <v>0</v>
      </c>
      <c r="Y92" s="290">
        <v>0.0</v>
      </c>
      <c r="Z92" s="291">
        <v>0.09</v>
      </c>
      <c r="AA92" s="292">
        <f t="shared" ref="AA92:AA93" si="41">Y92/(1-Z92)</f>
        <v>0</v>
      </c>
    </row>
    <row r="93" ht="15.75" customHeight="1">
      <c r="A93" s="295"/>
      <c r="B93" s="322" t="s">
        <v>95</v>
      </c>
      <c r="C93" s="70"/>
      <c r="D93" s="71"/>
      <c r="E93" s="326">
        <v>1.0</v>
      </c>
      <c r="F93" s="326" t="s">
        <v>45</v>
      </c>
      <c r="G93" s="327">
        <v>1.0</v>
      </c>
      <c r="H93" s="327"/>
      <c r="I93" s="327"/>
      <c r="J93" s="327"/>
      <c r="K93" s="290">
        <f t="shared" si="37"/>
        <v>0</v>
      </c>
      <c r="L93" s="291">
        <v>0.09</v>
      </c>
      <c r="M93" s="292">
        <f t="shared" si="38"/>
        <v>0</v>
      </c>
      <c r="N93" s="187"/>
      <c r="O93" s="60"/>
      <c r="P93" s="326">
        <v>1.0</v>
      </c>
      <c r="Q93" s="326" t="s">
        <v>45</v>
      </c>
      <c r="R93" s="327">
        <v>1.0</v>
      </c>
      <c r="S93" s="327"/>
      <c r="T93" s="327"/>
      <c r="U93" s="327"/>
      <c r="V93" s="290">
        <f t="shared" si="39"/>
        <v>0</v>
      </c>
      <c r="W93" s="291">
        <v>0.09</v>
      </c>
      <c r="X93" s="292">
        <f t="shared" si="40"/>
        <v>0</v>
      </c>
      <c r="Y93" s="290">
        <v>0.0</v>
      </c>
      <c r="Z93" s="291">
        <v>0.09</v>
      </c>
      <c r="AA93" s="292">
        <f t="shared" si="41"/>
        <v>0</v>
      </c>
    </row>
    <row r="94" ht="15.75" customHeight="1">
      <c r="A94" s="314"/>
      <c r="B94" s="163" t="s">
        <v>96</v>
      </c>
      <c r="C94" s="157"/>
      <c r="D94" s="158"/>
      <c r="E94" s="159"/>
      <c r="F94" s="160"/>
      <c r="G94" s="161"/>
      <c r="H94" s="161"/>
      <c r="I94" s="161"/>
      <c r="J94" s="161"/>
      <c r="K94" s="161"/>
      <c r="L94" s="161"/>
      <c r="M94" s="162"/>
      <c r="N94" s="164"/>
      <c r="O94" s="60"/>
      <c r="P94" s="160"/>
      <c r="Q94" s="160"/>
      <c r="R94" s="161"/>
      <c r="S94" s="161"/>
      <c r="T94" s="161"/>
      <c r="U94" s="161"/>
      <c r="V94" s="161"/>
      <c r="W94" s="161"/>
      <c r="X94" s="162"/>
      <c r="Y94" s="162"/>
      <c r="Z94" s="161"/>
      <c r="AA94" s="162"/>
    </row>
    <row r="95" ht="15.75" customHeight="1">
      <c r="A95" s="295"/>
      <c r="B95" s="324" t="s">
        <v>97</v>
      </c>
      <c r="C95" s="152"/>
      <c r="D95" s="153"/>
      <c r="E95" s="312">
        <v>1.0</v>
      </c>
      <c r="F95" s="283" t="s">
        <v>29</v>
      </c>
      <c r="G95" s="313">
        <v>1.0</v>
      </c>
      <c r="H95" s="313">
        <v>300000.0</v>
      </c>
      <c r="I95" s="313"/>
      <c r="J95" s="313"/>
      <c r="K95" s="290">
        <f t="shared" ref="K95:K103" si="42">(E95*G95*H95)+(I95*J95*E95*G95)</f>
        <v>300000</v>
      </c>
      <c r="L95" s="291">
        <v>0.09</v>
      </c>
      <c r="M95" s="292">
        <f t="shared" ref="M95:M103" si="43">K95/(1-L95)</f>
        <v>329670.3297</v>
      </c>
      <c r="N95" s="187"/>
      <c r="O95" s="60"/>
      <c r="P95" s="312">
        <v>1.0</v>
      </c>
      <c r="Q95" s="283" t="s">
        <v>29</v>
      </c>
      <c r="R95" s="313">
        <v>1.0</v>
      </c>
      <c r="S95" s="313">
        <v>300000.0</v>
      </c>
      <c r="T95" s="313"/>
      <c r="U95" s="313"/>
      <c r="V95" s="290">
        <f t="shared" ref="V95:V103" si="44">(P95*R95*S95)+(T95*U95*P95*R95)</f>
        <v>300000</v>
      </c>
      <c r="W95" s="291">
        <v>0.09</v>
      </c>
      <c r="X95" s="292">
        <f t="shared" ref="X95:X103" si="45">V95/(1-W95)</f>
        <v>329670.3297</v>
      </c>
      <c r="Y95" s="290">
        <v>0.0</v>
      </c>
      <c r="Z95" s="291">
        <v>0.09</v>
      </c>
      <c r="AA95" s="292">
        <f t="shared" ref="AA95:AA103" si="46">Y95/(1-Z95)</f>
        <v>0</v>
      </c>
    </row>
    <row r="96" ht="15.75" customHeight="1">
      <c r="A96" s="295"/>
      <c r="B96" s="324" t="s">
        <v>98</v>
      </c>
      <c r="C96" s="152"/>
      <c r="D96" s="153"/>
      <c r="E96" s="312">
        <v>1.0</v>
      </c>
      <c r="F96" s="283" t="s">
        <v>29</v>
      </c>
      <c r="G96" s="313">
        <v>1.0</v>
      </c>
      <c r="H96" s="313">
        <v>160000.0</v>
      </c>
      <c r="I96" s="313"/>
      <c r="J96" s="313"/>
      <c r="K96" s="290">
        <f t="shared" si="42"/>
        <v>160000</v>
      </c>
      <c r="L96" s="291">
        <v>0.09</v>
      </c>
      <c r="M96" s="292">
        <f t="shared" si="43"/>
        <v>175824.1758</v>
      </c>
      <c r="N96" s="187"/>
      <c r="O96" s="60"/>
      <c r="P96" s="312">
        <v>1.0</v>
      </c>
      <c r="Q96" s="283" t="s">
        <v>29</v>
      </c>
      <c r="R96" s="313">
        <v>1.0</v>
      </c>
      <c r="S96" s="313">
        <v>160000.0</v>
      </c>
      <c r="T96" s="313"/>
      <c r="U96" s="313"/>
      <c r="V96" s="290">
        <f t="shared" si="44"/>
        <v>160000</v>
      </c>
      <c r="W96" s="291">
        <v>0.09</v>
      </c>
      <c r="X96" s="292">
        <f t="shared" si="45"/>
        <v>175824.1758</v>
      </c>
      <c r="Y96" s="290">
        <v>0.0</v>
      </c>
      <c r="Z96" s="291">
        <v>0.09</v>
      </c>
      <c r="AA96" s="292">
        <f t="shared" si="46"/>
        <v>0</v>
      </c>
    </row>
    <row r="97" ht="15.75" customHeight="1">
      <c r="A97" s="295"/>
      <c r="B97" s="324" t="s">
        <v>99</v>
      </c>
      <c r="C97" s="152"/>
      <c r="D97" s="153"/>
      <c r="E97" s="312">
        <v>1.0</v>
      </c>
      <c r="F97" s="283" t="s">
        <v>29</v>
      </c>
      <c r="G97" s="313">
        <v>1.0</v>
      </c>
      <c r="H97" s="313">
        <v>140000.0</v>
      </c>
      <c r="I97" s="313"/>
      <c r="J97" s="313"/>
      <c r="K97" s="290">
        <f t="shared" si="42"/>
        <v>140000</v>
      </c>
      <c r="L97" s="291">
        <v>0.09</v>
      </c>
      <c r="M97" s="292">
        <f t="shared" si="43"/>
        <v>153846.1538</v>
      </c>
      <c r="N97" s="187"/>
      <c r="O97" s="60"/>
      <c r="P97" s="312">
        <v>1.0</v>
      </c>
      <c r="Q97" s="283" t="s">
        <v>29</v>
      </c>
      <c r="R97" s="313">
        <v>1.0</v>
      </c>
      <c r="S97" s="313">
        <v>140000.0</v>
      </c>
      <c r="T97" s="313"/>
      <c r="U97" s="313"/>
      <c r="V97" s="290">
        <f t="shared" si="44"/>
        <v>140000</v>
      </c>
      <c r="W97" s="291">
        <v>0.09</v>
      </c>
      <c r="X97" s="292">
        <f t="shared" si="45"/>
        <v>153846.1538</v>
      </c>
      <c r="Y97" s="290">
        <v>0.0</v>
      </c>
      <c r="Z97" s="291">
        <v>0.09</v>
      </c>
      <c r="AA97" s="292">
        <f t="shared" si="46"/>
        <v>0</v>
      </c>
    </row>
    <row r="98" ht="15.75" customHeight="1">
      <c r="A98" s="295"/>
      <c r="B98" s="281" t="s">
        <v>100</v>
      </c>
      <c r="C98" s="42"/>
      <c r="D98" s="43"/>
      <c r="E98" s="325">
        <v>1.0</v>
      </c>
      <c r="F98" s="326" t="s">
        <v>45</v>
      </c>
      <c r="G98" s="290">
        <v>1.0</v>
      </c>
      <c r="H98" s="290">
        <v>10000.0</v>
      </c>
      <c r="I98" s="290"/>
      <c r="J98" s="290">
        <v>3000.0</v>
      </c>
      <c r="K98" s="290">
        <f t="shared" si="42"/>
        <v>10000</v>
      </c>
      <c r="L98" s="291">
        <v>0.09</v>
      </c>
      <c r="M98" s="292">
        <f t="shared" si="43"/>
        <v>10989.01099</v>
      </c>
      <c r="N98" s="187"/>
      <c r="O98" s="60"/>
      <c r="P98" s="325">
        <v>1.0</v>
      </c>
      <c r="Q98" s="326" t="s">
        <v>45</v>
      </c>
      <c r="R98" s="290">
        <v>1.0</v>
      </c>
      <c r="S98" s="290">
        <v>10000.0</v>
      </c>
      <c r="T98" s="290"/>
      <c r="U98" s="290">
        <v>2000.0</v>
      </c>
      <c r="V98" s="290">
        <f t="shared" si="44"/>
        <v>10000</v>
      </c>
      <c r="W98" s="291">
        <v>0.09</v>
      </c>
      <c r="X98" s="292">
        <f t="shared" si="45"/>
        <v>10989.01099</v>
      </c>
      <c r="Y98" s="290">
        <v>0.0</v>
      </c>
      <c r="Z98" s="291">
        <v>0.09</v>
      </c>
      <c r="AA98" s="292">
        <f t="shared" si="46"/>
        <v>0</v>
      </c>
    </row>
    <row r="99" ht="15.75" customHeight="1">
      <c r="A99" s="295"/>
      <c r="B99" s="281" t="s">
        <v>101</v>
      </c>
      <c r="C99" s="42"/>
      <c r="D99" s="43"/>
      <c r="E99" s="325">
        <v>1.0</v>
      </c>
      <c r="F99" s="326" t="s">
        <v>45</v>
      </c>
      <c r="G99" s="290">
        <v>1.0</v>
      </c>
      <c r="H99" s="290">
        <v>10000.0</v>
      </c>
      <c r="I99" s="290"/>
      <c r="J99" s="290">
        <v>3000.0</v>
      </c>
      <c r="K99" s="290">
        <f t="shared" si="42"/>
        <v>10000</v>
      </c>
      <c r="L99" s="291">
        <v>0.09</v>
      </c>
      <c r="M99" s="292">
        <f t="shared" si="43"/>
        <v>10989.01099</v>
      </c>
      <c r="N99" s="187"/>
      <c r="O99" s="60"/>
      <c r="P99" s="325">
        <v>1.0</v>
      </c>
      <c r="Q99" s="326" t="s">
        <v>45</v>
      </c>
      <c r="R99" s="290">
        <v>1.0</v>
      </c>
      <c r="S99" s="290">
        <v>10000.0</v>
      </c>
      <c r="T99" s="290"/>
      <c r="U99" s="290">
        <v>2000.0</v>
      </c>
      <c r="V99" s="290">
        <f t="shared" si="44"/>
        <v>10000</v>
      </c>
      <c r="W99" s="291">
        <v>0.09</v>
      </c>
      <c r="X99" s="292">
        <f t="shared" si="45"/>
        <v>10989.01099</v>
      </c>
      <c r="Y99" s="290">
        <v>0.0</v>
      </c>
      <c r="Z99" s="291">
        <v>0.09</v>
      </c>
      <c r="AA99" s="292">
        <f t="shared" si="46"/>
        <v>0</v>
      </c>
    </row>
    <row r="100" ht="15.75" customHeight="1">
      <c r="A100" s="295"/>
      <c r="B100" s="281" t="s">
        <v>102</v>
      </c>
      <c r="C100" s="42"/>
      <c r="D100" s="43"/>
      <c r="E100" s="325">
        <v>1.0</v>
      </c>
      <c r="F100" s="326" t="s">
        <v>45</v>
      </c>
      <c r="G100" s="290">
        <v>1.0</v>
      </c>
      <c r="H100" s="290">
        <v>10000.0</v>
      </c>
      <c r="I100" s="290"/>
      <c r="J100" s="290">
        <v>3000.0</v>
      </c>
      <c r="K100" s="290">
        <f t="shared" si="42"/>
        <v>10000</v>
      </c>
      <c r="L100" s="291">
        <v>0.09</v>
      </c>
      <c r="M100" s="292">
        <f t="shared" si="43"/>
        <v>10989.01099</v>
      </c>
      <c r="N100" s="187"/>
      <c r="O100" s="60"/>
      <c r="P100" s="325">
        <v>1.0</v>
      </c>
      <c r="Q100" s="326" t="s">
        <v>45</v>
      </c>
      <c r="R100" s="290">
        <v>1.0</v>
      </c>
      <c r="S100" s="290">
        <v>10000.0</v>
      </c>
      <c r="T100" s="290"/>
      <c r="U100" s="290">
        <v>2000.0</v>
      </c>
      <c r="V100" s="290">
        <f t="shared" si="44"/>
        <v>10000</v>
      </c>
      <c r="W100" s="291">
        <v>0.09</v>
      </c>
      <c r="X100" s="292">
        <f t="shared" si="45"/>
        <v>10989.01099</v>
      </c>
      <c r="Y100" s="290">
        <v>0.0</v>
      </c>
      <c r="Z100" s="291">
        <v>0.09</v>
      </c>
      <c r="AA100" s="292">
        <f t="shared" si="46"/>
        <v>0</v>
      </c>
    </row>
    <row r="101" ht="15.75" customHeight="1">
      <c r="A101" s="295"/>
      <c r="B101" s="281" t="s">
        <v>103</v>
      </c>
      <c r="C101" s="42"/>
      <c r="D101" s="43"/>
      <c r="E101" s="325">
        <v>1.0</v>
      </c>
      <c r="F101" s="326" t="s">
        <v>45</v>
      </c>
      <c r="G101" s="290">
        <v>1.0</v>
      </c>
      <c r="H101" s="290">
        <v>10000.0</v>
      </c>
      <c r="I101" s="290"/>
      <c r="J101" s="290">
        <v>3000.0</v>
      </c>
      <c r="K101" s="290">
        <f t="shared" si="42"/>
        <v>10000</v>
      </c>
      <c r="L101" s="291">
        <v>0.09</v>
      </c>
      <c r="M101" s="292">
        <f t="shared" si="43"/>
        <v>10989.01099</v>
      </c>
      <c r="N101" s="187"/>
      <c r="O101" s="60"/>
      <c r="P101" s="325">
        <v>1.0</v>
      </c>
      <c r="Q101" s="326" t="s">
        <v>45</v>
      </c>
      <c r="R101" s="290">
        <v>1.0</v>
      </c>
      <c r="S101" s="290">
        <v>10000.0</v>
      </c>
      <c r="T101" s="290"/>
      <c r="U101" s="290">
        <v>2000.0</v>
      </c>
      <c r="V101" s="290">
        <f t="shared" si="44"/>
        <v>10000</v>
      </c>
      <c r="W101" s="291">
        <v>0.09</v>
      </c>
      <c r="X101" s="292">
        <f t="shared" si="45"/>
        <v>10989.01099</v>
      </c>
      <c r="Y101" s="290">
        <v>0.0</v>
      </c>
      <c r="Z101" s="291">
        <v>0.09</v>
      </c>
      <c r="AA101" s="292">
        <f t="shared" si="46"/>
        <v>0</v>
      </c>
    </row>
    <row r="102" ht="15.75" customHeight="1">
      <c r="A102" s="295"/>
      <c r="B102" s="281" t="s">
        <v>104</v>
      </c>
      <c r="C102" s="42"/>
      <c r="D102" s="43"/>
      <c r="E102" s="325">
        <v>1.0</v>
      </c>
      <c r="F102" s="283" t="s">
        <v>29</v>
      </c>
      <c r="G102" s="290">
        <v>1.0</v>
      </c>
      <c r="H102" s="290"/>
      <c r="I102" s="290"/>
      <c r="J102" s="290"/>
      <c r="K102" s="290">
        <f t="shared" si="42"/>
        <v>0</v>
      </c>
      <c r="L102" s="291">
        <v>0.09</v>
      </c>
      <c r="M102" s="292">
        <f t="shared" si="43"/>
        <v>0</v>
      </c>
      <c r="N102" s="187"/>
      <c r="O102" s="60"/>
      <c r="P102" s="325">
        <v>1.0</v>
      </c>
      <c r="Q102" s="283" t="s">
        <v>29</v>
      </c>
      <c r="R102" s="290">
        <v>1.0</v>
      </c>
      <c r="S102" s="290"/>
      <c r="T102" s="290"/>
      <c r="U102" s="290"/>
      <c r="V102" s="290">
        <f t="shared" si="44"/>
        <v>0</v>
      </c>
      <c r="W102" s="291">
        <v>0.09</v>
      </c>
      <c r="X102" s="292">
        <f t="shared" si="45"/>
        <v>0</v>
      </c>
      <c r="Y102" s="290">
        <v>0.0</v>
      </c>
      <c r="Z102" s="291">
        <v>0.09</v>
      </c>
      <c r="AA102" s="292">
        <f t="shared" si="46"/>
        <v>0</v>
      </c>
    </row>
    <row r="103" ht="15.75" customHeight="1">
      <c r="A103" s="295"/>
      <c r="B103" s="322" t="s">
        <v>105</v>
      </c>
      <c r="C103" s="70"/>
      <c r="D103" s="71"/>
      <c r="E103" s="326">
        <v>1.0</v>
      </c>
      <c r="F103" s="283" t="s">
        <v>29</v>
      </c>
      <c r="G103" s="327">
        <v>1.0</v>
      </c>
      <c r="H103" s="327"/>
      <c r="I103" s="327"/>
      <c r="J103" s="327"/>
      <c r="K103" s="290">
        <f t="shared" si="42"/>
        <v>0</v>
      </c>
      <c r="L103" s="291">
        <v>0.09</v>
      </c>
      <c r="M103" s="292">
        <f t="shared" si="43"/>
        <v>0</v>
      </c>
      <c r="N103" s="187"/>
      <c r="O103" s="60"/>
      <c r="P103" s="326">
        <v>1.0</v>
      </c>
      <c r="Q103" s="283" t="s">
        <v>29</v>
      </c>
      <c r="R103" s="327">
        <v>1.0</v>
      </c>
      <c r="S103" s="327"/>
      <c r="T103" s="327"/>
      <c r="U103" s="327"/>
      <c r="V103" s="290">
        <f t="shared" si="44"/>
        <v>0</v>
      </c>
      <c r="W103" s="291">
        <v>0.09</v>
      </c>
      <c r="X103" s="292">
        <f t="shared" si="45"/>
        <v>0</v>
      </c>
      <c r="Y103" s="290">
        <v>0.0</v>
      </c>
      <c r="Z103" s="291">
        <v>0.09</v>
      </c>
      <c r="AA103" s="292">
        <f t="shared" si="46"/>
        <v>0</v>
      </c>
    </row>
    <row r="104" ht="15.75" customHeight="1">
      <c r="A104" s="314"/>
      <c r="B104" s="163" t="s">
        <v>106</v>
      </c>
      <c r="C104" s="157"/>
      <c r="D104" s="158"/>
      <c r="E104" s="159"/>
      <c r="F104" s="160"/>
      <c r="G104" s="161"/>
      <c r="H104" s="161"/>
      <c r="I104" s="161"/>
      <c r="J104" s="161"/>
      <c r="K104" s="161"/>
      <c r="L104" s="161"/>
      <c r="M104" s="162"/>
      <c r="N104" s="164"/>
      <c r="O104" s="60"/>
      <c r="P104" s="160"/>
      <c r="Q104" s="160"/>
      <c r="R104" s="161"/>
      <c r="S104" s="161"/>
      <c r="T104" s="161"/>
      <c r="U104" s="161"/>
      <c r="V104" s="161"/>
      <c r="W104" s="161"/>
      <c r="X104" s="162"/>
      <c r="Y104" s="162"/>
      <c r="Z104" s="161"/>
      <c r="AA104" s="162"/>
    </row>
    <row r="105" ht="15.75" customHeight="1">
      <c r="A105" s="295"/>
      <c r="B105" s="324" t="s">
        <v>107</v>
      </c>
      <c r="C105" s="152"/>
      <c r="D105" s="153"/>
      <c r="E105" s="312">
        <v>1.0</v>
      </c>
      <c r="F105" s="326" t="s">
        <v>45</v>
      </c>
      <c r="G105" s="313">
        <v>1.0</v>
      </c>
      <c r="H105" s="313"/>
      <c r="I105" s="313"/>
      <c r="J105" s="313"/>
      <c r="K105" s="290">
        <f t="shared" ref="K105:K108" si="47">(E105*G105*H105)+(I105*J105*E105*G105)</f>
        <v>0</v>
      </c>
      <c r="L105" s="291">
        <v>0.09</v>
      </c>
      <c r="M105" s="292">
        <f t="shared" ref="M105:M108" si="48">K105/(1-L105)</f>
        <v>0</v>
      </c>
      <c r="N105" s="187"/>
      <c r="O105" s="60"/>
      <c r="P105" s="312">
        <v>1.0</v>
      </c>
      <c r="Q105" s="326" t="s">
        <v>45</v>
      </c>
      <c r="R105" s="313">
        <v>1.0</v>
      </c>
      <c r="S105" s="313"/>
      <c r="T105" s="313"/>
      <c r="U105" s="313"/>
      <c r="V105" s="290">
        <f t="shared" ref="V105:V108" si="49">(P105*R105*S105)+(T105*U105*P105*R105)</f>
        <v>0</v>
      </c>
      <c r="W105" s="291">
        <v>0.09</v>
      </c>
      <c r="X105" s="292">
        <f t="shared" ref="X105:X108" si="50">V105/(1-W105)</f>
        <v>0</v>
      </c>
      <c r="Y105" s="290">
        <v>0.0</v>
      </c>
      <c r="Z105" s="291">
        <v>0.09</v>
      </c>
      <c r="AA105" s="292">
        <f t="shared" ref="AA105:AA108" si="51">Y105/(1-Z105)</f>
        <v>0</v>
      </c>
    </row>
    <row r="106" ht="15.75" customHeight="1">
      <c r="A106" s="295"/>
      <c r="B106" s="281" t="s">
        <v>108</v>
      </c>
      <c r="C106" s="42"/>
      <c r="D106" s="43"/>
      <c r="E106" s="325">
        <v>1.0</v>
      </c>
      <c r="F106" s="326" t="s">
        <v>45</v>
      </c>
      <c r="G106" s="290">
        <v>1.0</v>
      </c>
      <c r="H106" s="290"/>
      <c r="I106" s="290"/>
      <c r="J106" s="290"/>
      <c r="K106" s="290">
        <f t="shared" si="47"/>
        <v>0</v>
      </c>
      <c r="L106" s="291">
        <v>0.09</v>
      </c>
      <c r="M106" s="292">
        <f t="shared" si="48"/>
        <v>0</v>
      </c>
      <c r="N106" s="187"/>
      <c r="O106" s="60"/>
      <c r="P106" s="325">
        <v>1.0</v>
      </c>
      <c r="Q106" s="326" t="s">
        <v>45</v>
      </c>
      <c r="R106" s="290">
        <v>1.0</v>
      </c>
      <c r="S106" s="290"/>
      <c r="T106" s="290"/>
      <c r="U106" s="290"/>
      <c r="V106" s="290">
        <f t="shared" si="49"/>
        <v>0</v>
      </c>
      <c r="W106" s="291">
        <v>0.09</v>
      </c>
      <c r="X106" s="292">
        <f t="shared" si="50"/>
        <v>0</v>
      </c>
      <c r="Y106" s="290">
        <v>0.0</v>
      </c>
      <c r="Z106" s="291">
        <v>0.09</v>
      </c>
      <c r="AA106" s="292">
        <f t="shared" si="51"/>
        <v>0</v>
      </c>
    </row>
    <row r="107" ht="15.75" customHeight="1">
      <c r="A107" s="295"/>
      <c r="B107" s="281" t="s">
        <v>109</v>
      </c>
      <c r="C107" s="42"/>
      <c r="D107" s="43"/>
      <c r="E107" s="325">
        <v>1.0</v>
      </c>
      <c r="F107" s="326" t="s">
        <v>45</v>
      </c>
      <c r="G107" s="290">
        <v>1.0</v>
      </c>
      <c r="H107" s="290"/>
      <c r="I107" s="290"/>
      <c r="J107" s="290"/>
      <c r="K107" s="290">
        <f t="shared" si="47"/>
        <v>0</v>
      </c>
      <c r="L107" s="291">
        <v>0.09</v>
      </c>
      <c r="M107" s="292">
        <f t="shared" si="48"/>
        <v>0</v>
      </c>
      <c r="N107" s="187"/>
      <c r="O107" s="60"/>
      <c r="P107" s="325">
        <v>1.0</v>
      </c>
      <c r="Q107" s="326" t="s">
        <v>45</v>
      </c>
      <c r="R107" s="290">
        <v>1.0</v>
      </c>
      <c r="S107" s="290"/>
      <c r="T107" s="290"/>
      <c r="U107" s="290"/>
      <c r="V107" s="290">
        <f t="shared" si="49"/>
        <v>0</v>
      </c>
      <c r="W107" s="291">
        <v>0.09</v>
      </c>
      <c r="X107" s="292">
        <f t="shared" si="50"/>
        <v>0</v>
      </c>
      <c r="Y107" s="290">
        <v>0.0</v>
      </c>
      <c r="Z107" s="291">
        <v>0.09</v>
      </c>
      <c r="AA107" s="292">
        <f t="shared" si="51"/>
        <v>0</v>
      </c>
    </row>
    <row r="108" ht="15.75" customHeight="1">
      <c r="A108" s="295"/>
      <c r="B108" s="322" t="s">
        <v>110</v>
      </c>
      <c r="C108" s="70"/>
      <c r="D108" s="71"/>
      <c r="E108" s="326">
        <v>1.0</v>
      </c>
      <c r="F108" s="326" t="s">
        <v>45</v>
      </c>
      <c r="G108" s="327">
        <v>1.0</v>
      </c>
      <c r="H108" s="327"/>
      <c r="I108" s="327"/>
      <c r="J108" s="327"/>
      <c r="K108" s="290">
        <f t="shared" si="47"/>
        <v>0</v>
      </c>
      <c r="L108" s="291">
        <v>0.09</v>
      </c>
      <c r="M108" s="292">
        <f t="shared" si="48"/>
        <v>0</v>
      </c>
      <c r="N108" s="187"/>
      <c r="O108" s="60"/>
      <c r="P108" s="326">
        <v>1.0</v>
      </c>
      <c r="Q108" s="326" t="s">
        <v>45</v>
      </c>
      <c r="R108" s="327">
        <v>1.0</v>
      </c>
      <c r="S108" s="327"/>
      <c r="T108" s="327"/>
      <c r="U108" s="327"/>
      <c r="V108" s="290">
        <f t="shared" si="49"/>
        <v>0</v>
      </c>
      <c r="W108" s="291">
        <v>0.09</v>
      </c>
      <c r="X108" s="292">
        <f t="shared" si="50"/>
        <v>0</v>
      </c>
      <c r="Y108" s="290">
        <v>0.0</v>
      </c>
      <c r="Z108" s="291">
        <v>0.09</v>
      </c>
      <c r="AA108" s="292">
        <f t="shared" si="51"/>
        <v>0</v>
      </c>
    </row>
    <row r="109" ht="15.75" customHeight="1">
      <c r="A109" s="314"/>
      <c r="B109" s="163" t="s">
        <v>111</v>
      </c>
      <c r="C109" s="157"/>
      <c r="D109" s="158"/>
      <c r="E109" s="159"/>
      <c r="F109" s="160"/>
      <c r="G109" s="161"/>
      <c r="H109" s="161"/>
      <c r="I109" s="161"/>
      <c r="J109" s="161"/>
      <c r="K109" s="161"/>
      <c r="L109" s="161"/>
      <c r="M109" s="162"/>
      <c r="N109" s="164"/>
      <c r="O109" s="60"/>
      <c r="P109" s="160"/>
      <c r="Q109" s="160"/>
      <c r="R109" s="161"/>
      <c r="S109" s="161"/>
      <c r="T109" s="161"/>
      <c r="U109" s="161"/>
      <c r="V109" s="161"/>
      <c r="W109" s="161"/>
      <c r="X109" s="162"/>
      <c r="Y109" s="162"/>
      <c r="Z109" s="161"/>
      <c r="AA109" s="162"/>
    </row>
    <row r="110" ht="15.75" customHeight="1">
      <c r="A110" s="295"/>
      <c r="B110" s="324" t="s">
        <v>112</v>
      </c>
      <c r="C110" s="152"/>
      <c r="D110" s="153"/>
      <c r="E110" s="312">
        <v>1.0</v>
      </c>
      <c r="F110" s="326" t="s">
        <v>45</v>
      </c>
      <c r="G110" s="313">
        <v>1.0</v>
      </c>
      <c r="H110" s="313"/>
      <c r="I110" s="313"/>
      <c r="J110" s="313"/>
      <c r="K110" s="290">
        <f t="shared" ref="K110:K120" si="52">(E110*G110*H110)+(I110*J110*E110*G110)</f>
        <v>0</v>
      </c>
      <c r="L110" s="291">
        <v>0.09</v>
      </c>
      <c r="M110" s="292">
        <f t="shared" ref="M110:M120" si="53">K110/(1-L110)</f>
        <v>0</v>
      </c>
      <c r="N110" s="187"/>
      <c r="O110" s="60"/>
      <c r="P110" s="312">
        <v>1.0</v>
      </c>
      <c r="Q110" s="326" t="s">
        <v>45</v>
      </c>
      <c r="R110" s="313">
        <v>1.0</v>
      </c>
      <c r="S110" s="313"/>
      <c r="T110" s="313"/>
      <c r="U110" s="313"/>
      <c r="V110" s="290">
        <f t="shared" ref="V110:V120" si="54">(P110*R110*S110)+(T110*U110*P110*R110)</f>
        <v>0</v>
      </c>
      <c r="W110" s="291">
        <v>0.09</v>
      </c>
      <c r="X110" s="292">
        <f t="shared" ref="X110:X113" si="55">V110/(1-W110)</f>
        <v>0</v>
      </c>
      <c r="Y110" s="290">
        <v>0.0</v>
      </c>
      <c r="Z110" s="291">
        <v>0.09</v>
      </c>
      <c r="AA110" s="292">
        <f t="shared" ref="AA110:AA113" si="56">Y110/(1-Z110)</f>
        <v>0</v>
      </c>
    </row>
    <row r="111" ht="15.75" customHeight="1">
      <c r="A111" s="295"/>
      <c r="B111" s="281" t="s">
        <v>113</v>
      </c>
      <c r="C111" s="42"/>
      <c r="D111" s="43"/>
      <c r="E111" s="325">
        <v>1.0</v>
      </c>
      <c r="F111" s="326" t="s">
        <v>45</v>
      </c>
      <c r="G111" s="290">
        <v>1.0</v>
      </c>
      <c r="H111" s="290"/>
      <c r="I111" s="290"/>
      <c r="J111" s="290"/>
      <c r="K111" s="290">
        <f t="shared" si="52"/>
        <v>0</v>
      </c>
      <c r="L111" s="291">
        <v>0.09</v>
      </c>
      <c r="M111" s="292">
        <f t="shared" si="53"/>
        <v>0</v>
      </c>
      <c r="N111" s="187"/>
      <c r="O111" s="60"/>
      <c r="P111" s="325">
        <v>1.0</v>
      </c>
      <c r="Q111" s="326" t="s">
        <v>45</v>
      </c>
      <c r="R111" s="290">
        <v>1.0</v>
      </c>
      <c r="S111" s="290"/>
      <c r="T111" s="290"/>
      <c r="U111" s="290"/>
      <c r="V111" s="290">
        <f t="shared" si="54"/>
        <v>0</v>
      </c>
      <c r="W111" s="291">
        <v>0.09</v>
      </c>
      <c r="X111" s="292">
        <f t="shared" si="55"/>
        <v>0</v>
      </c>
      <c r="Y111" s="290">
        <v>0.0</v>
      </c>
      <c r="Z111" s="291">
        <v>0.09</v>
      </c>
      <c r="AA111" s="292">
        <f t="shared" si="56"/>
        <v>0</v>
      </c>
    </row>
    <row r="112" ht="15.75" customHeight="1">
      <c r="A112" s="295"/>
      <c r="B112" s="281" t="s">
        <v>114</v>
      </c>
      <c r="C112" s="42"/>
      <c r="D112" s="43"/>
      <c r="E112" s="325">
        <v>1.0</v>
      </c>
      <c r="F112" s="326" t="s">
        <v>45</v>
      </c>
      <c r="G112" s="290">
        <v>1.0</v>
      </c>
      <c r="H112" s="290">
        <v>15000.0</v>
      </c>
      <c r="I112" s="290"/>
      <c r="J112" s="290">
        <v>3000.0</v>
      </c>
      <c r="K112" s="290">
        <f t="shared" si="52"/>
        <v>15000</v>
      </c>
      <c r="L112" s="291">
        <v>0.09</v>
      </c>
      <c r="M112" s="292">
        <f t="shared" si="53"/>
        <v>16483.51648</v>
      </c>
      <c r="N112" s="187"/>
      <c r="O112" s="60"/>
      <c r="P112" s="325">
        <v>1.0</v>
      </c>
      <c r="Q112" s="326" t="s">
        <v>45</v>
      </c>
      <c r="R112" s="290">
        <v>1.0</v>
      </c>
      <c r="S112" s="290">
        <v>15000.0</v>
      </c>
      <c r="T112" s="290"/>
      <c r="U112" s="290">
        <v>3000.0</v>
      </c>
      <c r="V112" s="290">
        <f t="shared" si="54"/>
        <v>15000</v>
      </c>
      <c r="W112" s="291">
        <v>0.09</v>
      </c>
      <c r="X112" s="292">
        <f t="shared" si="55"/>
        <v>16483.51648</v>
      </c>
      <c r="Y112" s="290">
        <v>0.0</v>
      </c>
      <c r="Z112" s="291">
        <v>0.09</v>
      </c>
      <c r="AA112" s="292">
        <f t="shared" si="56"/>
        <v>0</v>
      </c>
    </row>
    <row r="113" ht="15.75" customHeight="1">
      <c r="A113" s="293"/>
      <c r="B113" s="324" t="s">
        <v>80</v>
      </c>
      <c r="C113" s="152"/>
      <c r="D113" s="153"/>
      <c r="E113" s="325">
        <v>1.0</v>
      </c>
      <c r="F113" s="326" t="s">
        <v>45</v>
      </c>
      <c r="G113" s="290">
        <v>1.0</v>
      </c>
      <c r="H113" s="290">
        <v>4000.0</v>
      </c>
      <c r="I113" s="290"/>
      <c r="J113" s="290"/>
      <c r="K113" s="290">
        <f t="shared" si="52"/>
        <v>4000</v>
      </c>
      <c r="L113" s="291">
        <v>0.09</v>
      </c>
      <c r="M113" s="292">
        <f t="shared" si="53"/>
        <v>4395.604396</v>
      </c>
      <c r="N113" s="187"/>
      <c r="O113" s="60"/>
      <c r="P113" s="325">
        <v>1.0</v>
      </c>
      <c r="Q113" s="326" t="s">
        <v>45</v>
      </c>
      <c r="R113" s="290">
        <v>1.0</v>
      </c>
      <c r="S113" s="290">
        <v>4000.0</v>
      </c>
      <c r="T113" s="290"/>
      <c r="U113" s="290"/>
      <c r="V113" s="290">
        <f t="shared" si="54"/>
        <v>4000</v>
      </c>
      <c r="W113" s="291">
        <v>0.09</v>
      </c>
      <c r="X113" s="292">
        <f t="shared" si="55"/>
        <v>4395.604396</v>
      </c>
      <c r="Y113" s="290">
        <v>0.0</v>
      </c>
      <c r="Z113" s="291">
        <v>0.09</v>
      </c>
      <c r="AA113" s="292">
        <f t="shared" si="56"/>
        <v>0</v>
      </c>
    </row>
    <row r="114" ht="15.75" customHeight="1">
      <c r="A114" s="295"/>
      <c r="B114" s="281" t="s">
        <v>115</v>
      </c>
      <c r="C114" s="42"/>
      <c r="D114" s="43"/>
      <c r="E114" s="325">
        <v>1.0</v>
      </c>
      <c r="F114" s="326" t="s">
        <v>45</v>
      </c>
      <c r="G114" s="290">
        <v>1.0</v>
      </c>
      <c r="H114" s="290"/>
      <c r="I114" s="290"/>
      <c r="J114" s="290"/>
      <c r="K114" s="290">
        <f t="shared" si="52"/>
        <v>0</v>
      </c>
      <c r="L114" s="291">
        <v>0.09</v>
      </c>
      <c r="M114" s="292">
        <f t="shared" si="53"/>
        <v>0</v>
      </c>
      <c r="N114" s="187"/>
      <c r="O114" s="60"/>
      <c r="P114" s="325">
        <v>1.0</v>
      </c>
      <c r="Q114" s="326" t="s">
        <v>45</v>
      </c>
      <c r="R114" s="290">
        <v>1.0</v>
      </c>
      <c r="S114" s="290"/>
      <c r="T114" s="290"/>
      <c r="U114" s="290"/>
      <c r="V114" s="290">
        <f t="shared" si="54"/>
        <v>0</v>
      </c>
      <c r="W114" s="291">
        <v>0.09</v>
      </c>
      <c r="X114" s="292"/>
      <c r="Y114" s="290">
        <v>0.0</v>
      </c>
      <c r="Z114" s="291">
        <v>0.09</v>
      </c>
      <c r="AA114" s="292"/>
    </row>
    <row r="115" ht="15.75" customHeight="1">
      <c r="A115" s="295"/>
      <c r="B115" s="281" t="s">
        <v>116</v>
      </c>
      <c r="C115" s="42"/>
      <c r="D115" s="43"/>
      <c r="E115" s="325">
        <v>1.0</v>
      </c>
      <c r="F115" s="326" t="s">
        <v>45</v>
      </c>
      <c r="G115" s="290">
        <v>1.0</v>
      </c>
      <c r="H115" s="290"/>
      <c r="I115" s="290"/>
      <c r="J115" s="290"/>
      <c r="K115" s="290">
        <f t="shared" si="52"/>
        <v>0</v>
      </c>
      <c r="L115" s="291">
        <v>0.09</v>
      </c>
      <c r="M115" s="292">
        <f t="shared" si="53"/>
        <v>0</v>
      </c>
      <c r="N115" s="187"/>
      <c r="O115" s="60"/>
      <c r="P115" s="325">
        <v>1.0</v>
      </c>
      <c r="Q115" s="326" t="s">
        <v>45</v>
      </c>
      <c r="R115" s="290">
        <v>1.0</v>
      </c>
      <c r="S115" s="290"/>
      <c r="T115" s="290"/>
      <c r="U115" s="290"/>
      <c r="V115" s="290">
        <f t="shared" si="54"/>
        <v>0</v>
      </c>
      <c r="W115" s="291">
        <v>0.09</v>
      </c>
      <c r="X115" s="292">
        <f t="shared" ref="X115:X120" si="57">V115/(1-W115)</f>
        <v>0</v>
      </c>
      <c r="Y115" s="290">
        <v>0.0</v>
      </c>
      <c r="Z115" s="291">
        <v>0.09</v>
      </c>
      <c r="AA115" s="292">
        <f t="shared" ref="AA115:AA120" si="58">Y115/(1-Z115)</f>
        <v>0</v>
      </c>
    </row>
    <row r="116" ht="15.75" customHeight="1">
      <c r="A116" s="295"/>
      <c r="B116" s="281" t="s">
        <v>117</v>
      </c>
      <c r="C116" s="42"/>
      <c r="D116" s="43"/>
      <c r="E116" s="325">
        <v>1.0</v>
      </c>
      <c r="F116" s="326" t="s">
        <v>45</v>
      </c>
      <c r="G116" s="290">
        <v>1.0</v>
      </c>
      <c r="H116" s="290"/>
      <c r="I116" s="290"/>
      <c r="J116" s="290"/>
      <c r="K116" s="290">
        <f t="shared" si="52"/>
        <v>0</v>
      </c>
      <c r="L116" s="291">
        <v>0.09</v>
      </c>
      <c r="M116" s="292">
        <f t="shared" si="53"/>
        <v>0</v>
      </c>
      <c r="N116" s="187"/>
      <c r="O116" s="60"/>
      <c r="P116" s="325">
        <v>1.0</v>
      </c>
      <c r="Q116" s="326" t="s">
        <v>45</v>
      </c>
      <c r="R116" s="290">
        <v>1.0</v>
      </c>
      <c r="S116" s="290"/>
      <c r="T116" s="290"/>
      <c r="U116" s="290"/>
      <c r="V116" s="290">
        <f t="shared" si="54"/>
        <v>0</v>
      </c>
      <c r="W116" s="291">
        <v>0.09</v>
      </c>
      <c r="X116" s="292">
        <f t="shared" si="57"/>
        <v>0</v>
      </c>
      <c r="Y116" s="290">
        <v>0.0</v>
      </c>
      <c r="Z116" s="291">
        <v>0.09</v>
      </c>
      <c r="AA116" s="292">
        <f t="shared" si="58"/>
        <v>0</v>
      </c>
    </row>
    <row r="117" ht="15.75" customHeight="1">
      <c r="A117" s="295"/>
      <c r="B117" s="281" t="s">
        <v>118</v>
      </c>
      <c r="C117" s="42"/>
      <c r="D117" s="43"/>
      <c r="E117" s="325">
        <v>1.0</v>
      </c>
      <c r="F117" s="326" t="s">
        <v>45</v>
      </c>
      <c r="G117" s="290">
        <v>1.0</v>
      </c>
      <c r="H117" s="290"/>
      <c r="I117" s="290"/>
      <c r="J117" s="290"/>
      <c r="K117" s="290">
        <f t="shared" si="52"/>
        <v>0</v>
      </c>
      <c r="L117" s="291">
        <v>0.09</v>
      </c>
      <c r="M117" s="292">
        <f t="shared" si="53"/>
        <v>0</v>
      </c>
      <c r="N117" s="187"/>
      <c r="O117" s="60"/>
      <c r="P117" s="325">
        <v>1.0</v>
      </c>
      <c r="Q117" s="326" t="s">
        <v>45</v>
      </c>
      <c r="R117" s="290">
        <v>1.0</v>
      </c>
      <c r="S117" s="290"/>
      <c r="T117" s="290"/>
      <c r="U117" s="290"/>
      <c r="V117" s="290">
        <f t="shared" si="54"/>
        <v>0</v>
      </c>
      <c r="W117" s="291">
        <v>0.09</v>
      </c>
      <c r="X117" s="292">
        <f t="shared" si="57"/>
        <v>0</v>
      </c>
      <c r="Y117" s="290">
        <v>0.0</v>
      </c>
      <c r="Z117" s="291">
        <v>0.09</v>
      </c>
      <c r="AA117" s="292">
        <f t="shared" si="58"/>
        <v>0</v>
      </c>
    </row>
    <row r="118" ht="15.75" customHeight="1">
      <c r="A118" s="295"/>
      <c r="B118" s="281" t="s">
        <v>119</v>
      </c>
      <c r="C118" s="42"/>
      <c r="D118" s="43"/>
      <c r="E118" s="325">
        <v>1.0</v>
      </c>
      <c r="F118" s="326" t="s">
        <v>45</v>
      </c>
      <c r="G118" s="290">
        <v>1.0</v>
      </c>
      <c r="H118" s="290"/>
      <c r="I118" s="290"/>
      <c r="J118" s="290"/>
      <c r="K118" s="290">
        <f t="shared" si="52"/>
        <v>0</v>
      </c>
      <c r="L118" s="291">
        <v>0.09</v>
      </c>
      <c r="M118" s="292">
        <f t="shared" si="53"/>
        <v>0</v>
      </c>
      <c r="N118" s="187"/>
      <c r="O118" s="60"/>
      <c r="P118" s="325">
        <v>1.0</v>
      </c>
      <c r="Q118" s="326" t="s">
        <v>45</v>
      </c>
      <c r="R118" s="290">
        <v>1.0</v>
      </c>
      <c r="S118" s="290"/>
      <c r="T118" s="290"/>
      <c r="U118" s="290"/>
      <c r="V118" s="290">
        <f t="shared" si="54"/>
        <v>0</v>
      </c>
      <c r="W118" s="291">
        <v>0.09</v>
      </c>
      <c r="X118" s="292">
        <f t="shared" si="57"/>
        <v>0</v>
      </c>
      <c r="Y118" s="290">
        <v>0.0</v>
      </c>
      <c r="Z118" s="291">
        <v>0.09</v>
      </c>
      <c r="AA118" s="292">
        <f t="shared" si="58"/>
        <v>0</v>
      </c>
    </row>
    <row r="119" ht="15.75" customHeight="1">
      <c r="A119" s="295"/>
      <c r="B119" s="281" t="s">
        <v>120</v>
      </c>
      <c r="C119" s="42"/>
      <c r="D119" s="43"/>
      <c r="E119" s="325">
        <v>1.0</v>
      </c>
      <c r="F119" s="326" t="s">
        <v>45</v>
      </c>
      <c r="G119" s="290">
        <v>1.0</v>
      </c>
      <c r="H119" s="290"/>
      <c r="I119" s="290"/>
      <c r="J119" s="290"/>
      <c r="K119" s="290">
        <f t="shared" si="52"/>
        <v>0</v>
      </c>
      <c r="L119" s="291">
        <v>0.09</v>
      </c>
      <c r="M119" s="292">
        <f t="shared" si="53"/>
        <v>0</v>
      </c>
      <c r="N119" s="187"/>
      <c r="O119" s="60"/>
      <c r="P119" s="325">
        <v>1.0</v>
      </c>
      <c r="Q119" s="326" t="s">
        <v>45</v>
      </c>
      <c r="R119" s="290">
        <v>1.0</v>
      </c>
      <c r="S119" s="290"/>
      <c r="T119" s="290"/>
      <c r="U119" s="290"/>
      <c r="V119" s="290">
        <f t="shared" si="54"/>
        <v>0</v>
      </c>
      <c r="W119" s="291">
        <v>0.09</v>
      </c>
      <c r="X119" s="292">
        <f t="shared" si="57"/>
        <v>0</v>
      </c>
      <c r="Y119" s="290">
        <v>0.0</v>
      </c>
      <c r="Z119" s="291">
        <v>0.09</v>
      </c>
      <c r="AA119" s="292">
        <f t="shared" si="58"/>
        <v>0</v>
      </c>
    </row>
    <row r="120" ht="15.75" customHeight="1">
      <c r="A120" s="295"/>
      <c r="B120" s="322" t="s">
        <v>121</v>
      </c>
      <c r="C120" s="70"/>
      <c r="D120" s="71"/>
      <c r="E120" s="332">
        <v>1.0</v>
      </c>
      <c r="F120" s="326" t="s">
        <v>45</v>
      </c>
      <c r="G120" s="333">
        <v>1.0</v>
      </c>
      <c r="H120" s="333"/>
      <c r="I120" s="333"/>
      <c r="J120" s="333"/>
      <c r="K120" s="290">
        <f t="shared" si="52"/>
        <v>0</v>
      </c>
      <c r="L120" s="291">
        <v>0.09</v>
      </c>
      <c r="M120" s="292">
        <f t="shared" si="53"/>
        <v>0</v>
      </c>
      <c r="N120" s="187"/>
      <c r="O120" s="60"/>
      <c r="P120" s="332">
        <v>1.0</v>
      </c>
      <c r="Q120" s="326" t="s">
        <v>45</v>
      </c>
      <c r="R120" s="333">
        <v>1.0</v>
      </c>
      <c r="S120" s="333"/>
      <c r="T120" s="333"/>
      <c r="U120" s="333"/>
      <c r="V120" s="290">
        <f t="shared" si="54"/>
        <v>0</v>
      </c>
      <c r="W120" s="291">
        <v>0.09</v>
      </c>
      <c r="X120" s="292">
        <f t="shared" si="57"/>
        <v>0</v>
      </c>
      <c r="Y120" s="290">
        <v>0.0</v>
      </c>
      <c r="Z120" s="291">
        <v>0.09</v>
      </c>
      <c r="AA120" s="292">
        <f t="shared" si="58"/>
        <v>0</v>
      </c>
    </row>
    <row r="121" ht="15.75" customHeight="1">
      <c r="A121" s="295"/>
      <c r="B121" s="295"/>
      <c r="C121" s="295"/>
      <c r="D121" s="295"/>
      <c r="E121" s="298"/>
      <c r="F121" s="306"/>
      <c r="G121" s="300"/>
      <c r="H121" s="300"/>
      <c r="I121" s="307"/>
      <c r="J121" s="307"/>
      <c r="K121" s="307"/>
      <c r="L121" s="308" t="s">
        <v>122</v>
      </c>
      <c r="M121" s="304">
        <f>SUM(M41:M120)</f>
        <v>1880879.121</v>
      </c>
      <c r="N121" s="305"/>
      <c r="O121" s="60"/>
      <c r="P121" s="306"/>
      <c r="Q121" s="306"/>
      <c r="R121" s="300"/>
      <c r="S121" s="300"/>
      <c r="T121" s="307"/>
      <c r="U121" s="307"/>
      <c r="V121" s="307"/>
      <c r="W121" s="308" t="s">
        <v>122</v>
      </c>
      <c r="X121" s="304">
        <f>SUM(X41:X120)</f>
        <v>1953406.593</v>
      </c>
      <c r="Y121" s="320"/>
      <c r="Z121" s="308" t="s">
        <v>122</v>
      </c>
      <c r="AA121" s="320"/>
    </row>
    <row r="122" ht="9.75" customHeight="1">
      <c r="A122" s="134"/>
      <c r="B122" s="134"/>
      <c r="C122" s="134"/>
      <c r="D122" s="134"/>
      <c r="E122" s="132"/>
      <c r="F122" s="133"/>
      <c r="G122" s="134"/>
      <c r="H122" s="134"/>
      <c r="I122" s="134"/>
      <c r="J122" s="134"/>
      <c r="K122" s="134"/>
      <c r="L122" s="134"/>
      <c r="M122" s="135"/>
      <c r="N122" s="136"/>
      <c r="O122" s="60"/>
      <c r="P122" s="133"/>
      <c r="Q122" s="133"/>
      <c r="R122" s="134"/>
      <c r="S122" s="134"/>
      <c r="T122" s="134"/>
      <c r="U122" s="134"/>
      <c r="V122" s="134"/>
      <c r="W122" s="134"/>
      <c r="X122" s="135"/>
      <c r="Y122" s="321"/>
      <c r="Z122" s="134"/>
      <c r="AA122" s="321"/>
    </row>
    <row r="123" ht="15.75" customHeight="1">
      <c r="A123" s="140" t="s">
        <v>123</v>
      </c>
      <c r="B123" s="62"/>
      <c r="C123" s="62"/>
      <c r="D123" s="63"/>
      <c r="E123" s="178"/>
      <c r="F123" s="179"/>
      <c r="G123" s="180"/>
      <c r="H123" s="180"/>
      <c r="I123" s="180"/>
      <c r="J123" s="180"/>
      <c r="K123" s="180"/>
      <c r="L123" s="180"/>
      <c r="M123" s="181"/>
      <c r="N123" s="182"/>
      <c r="O123" s="60"/>
      <c r="P123" s="179"/>
      <c r="Q123" s="179"/>
      <c r="R123" s="180"/>
      <c r="S123" s="180"/>
      <c r="T123" s="180"/>
      <c r="U123" s="180"/>
      <c r="V123" s="180"/>
      <c r="W123" s="180"/>
      <c r="X123" s="181"/>
      <c r="Y123" s="334"/>
      <c r="Z123" s="180"/>
      <c r="AA123" s="334"/>
    </row>
    <row r="124" ht="15.75" customHeight="1">
      <c r="A124" s="309"/>
      <c r="B124" s="323" t="s">
        <v>124</v>
      </c>
      <c r="C124" s="146"/>
      <c r="D124" s="147"/>
      <c r="E124" s="159"/>
      <c r="F124" s="160"/>
      <c r="G124" s="161"/>
      <c r="H124" s="161"/>
      <c r="I124" s="161"/>
      <c r="J124" s="161"/>
      <c r="K124" s="161"/>
      <c r="L124" s="161"/>
      <c r="M124" s="162"/>
      <c r="N124" s="164"/>
      <c r="O124" s="60"/>
      <c r="P124" s="160"/>
      <c r="Q124" s="160"/>
      <c r="R124" s="161"/>
      <c r="S124" s="161"/>
      <c r="T124" s="161"/>
      <c r="U124" s="161"/>
      <c r="V124" s="161"/>
      <c r="W124" s="161"/>
      <c r="X124" s="162"/>
      <c r="Y124" s="162"/>
      <c r="Z124" s="161"/>
      <c r="AA124" s="162"/>
    </row>
    <row r="125" ht="15.75" customHeight="1">
      <c r="A125" s="295"/>
      <c r="B125" s="324" t="s">
        <v>125</v>
      </c>
      <c r="C125" s="152"/>
      <c r="D125" s="153"/>
      <c r="E125" s="312">
        <v>1.0</v>
      </c>
      <c r="F125" s="326" t="s">
        <v>45</v>
      </c>
      <c r="G125" s="313">
        <v>1.0</v>
      </c>
      <c r="H125" s="313"/>
      <c r="I125" s="313"/>
      <c r="J125" s="313"/>
      <c r="K125" s="290">
        <f t="shared" ref="K125:K127" si="59">(E125*G125*H125)+(I125*J125*E125*G125)</f>
        <v>0</v>
      </c>
      <c r="L125" s="291">
        <v>0.09</v>
      </c>
      <c r="M125" s="292">
        <f t="shared" ref="M125:M127" si="60">K125/(1-L125)</f>
        <v>0</v>
      </c>
      <c r="N125" s="187"/>
      <c r="O125" s="60"/>
      <c r="P125" s="312">
        <v>1.0</v>
      </c>
      <c r="Q125" s="326" t="s">
        <v>45</v>
      </c>
      <c r="R125" s="313">
        <v>1.0</v>
      </c>
      <c r="S125" s="313"/>
      <c r="T125" s="313"/>
      <c r="U125" s="313"/>
      <c r="V125" s="290">
        <f t="shared" ref="V125:V127" si="61">(P125*R125*S125)+(T125*U125*P125*R125)</f>
        <v>0</v>
      </c>
      <c r="W125" s="291">
        <v>0.09</v>
      </c>
      <c r="X125" s="292">
        <f t="shared" ref="X125:X127" si="62">V125/(1-W125)</f>
        <v>0</v>
      </c>
      <c r="Y125" s="290">
        <v>0.0</v>
      </c>
      <c r="Z125" s="291">
        <v>0.09</v>
      </c>
      <c r="AA125" s="292">
        <f t="shared" ref="AA125:AA127" si="63">Y125/(1-Z125)</f>
        <v>0</v>
      </c>
    </row>
    <row r="126" ht="15.75" customHeight="1">
      <c r="A126" s="295"/>
      <c r="B126" s="281" t="s">
        <v>126</v>
      </c>
      <c r="C126" s="42"/>
      <c r="D126" s="43"/>
      <c r="E126" s="325">
        <v>1.0</v>
      </c>
      <c r="F126" s="326" t="s">
        <v>45</v>
      </c>
      <c r="G126" s="290">
        <v>1.0</v>
      </c>
      <c r="H126" s="290"/>
      <c r="I126" s="290"/>
      <c r="J126" s="290"/>
      <c r="K126" s="290">
        <f t="shared" si="59"/>
        <v>0</v>
      </c>
      <c r="L126" s="291">
        <v>0.09</v>
      </c>
      <c r="M126" s="292">
        <f t="shared" si="60"/>
        <v>0</v>
      </c>
      <c r="N126" s="187"/>
      <c r="O126" s="60"/>
      <c r="P126" s="325">
        <v>1.0</v>
      </c>
      <c r="Q126" s="326" t="s">
        <v>45</v>
      </c>
      <c r="R126" s="290">
        <v>1.0</v>
      </c>
      <c r="S126" s="290"/>
      <c r="T126" s="290"/>
      <c r="U126" s="290"/>
      <c r="V126" s="290">
        <f t="shared" si="61"/>
        <v>0</v>
      </c>
      <c r="W126" s="291">
        <v>0.09</v>
      </c>
      <c r="X126" s="292">
        <f t="shared" si="62"/>
        <v>0</v>
      </c>
      <c r="Y126" s="290">
        <v>0.0</v>
      </c>
      <c r="Z126" s="291">
        <v>0.09</v>
      </c>
      <c r="AA126" s="292">
        <f t="shared" si="63"/>
        <v>0</v>
      </c>
    </row>
    <row r="127" ht="15.75" customHeight="1">
      <c r="A127" s="295"/>
      <c r="B127" s="322" t="s">
        <v>127</v>
      </c>
      <c r="C127" s="70"/>
      <c r="D127" s="71"/>
      <c r="E127" s="326">
        <v>1.0</v>
      </c>
      <c r="F127" s="326" t="s">
        <v>45</v>
      </c>
      <c r="G127" s="327">
        <v>1.0</v>
      </c>
      <c r="H127" s="327"/>
      <c r="I127" s="327"/>
      <c r="J127" s="327"/>
      <c r="K127" s="290">
        <f t="shared" si="59"/>
        <v>0</v>
      </c>
      <c r="L127" s="291">
        <v>0.09</v>
      </c>
      <c r="M127" s="292">
        <f t="shared" si="60"/>
        <v>0</v>
      </c>
      <c r="N127" s="187"/>
      <c r="O127" s="60"/>
      <c r="P127" s="326">
        <v>1.0</v>
      </c>
      <c r="Q127" s="326" t="s">
        <v>45</v>
      </c>
      <c r="R127" s="327">
        <v>1.0</v>
      </c>
      <c r="S127" s="327"/>
      <c r="T127" s="327"/>
      <c r="U127" s="327"/>
      <c r="V127" s="290">
        <f t="shared" si="61"/>
        <v>0</v>
      </c>
      <c r="W127" s="291">
        <v>0.09</v>
      </c>
      <c r="X127" s="292">
        <f t="shared" si="62"/>
        <v>0</v>
      </c>
      <c r="Y127" s="290">
        <v>0.0</v>
      </c>
      <c r="Z127" s="291">
        <v>0.09</v>
      </c>
      <c r="AA127" s="292">
        <f t="shared" si="63"/>
        <v>0</v>
      </c>
    </row>
    <row r="128" ht="15.75" customHeight="1">
      <c r="A128" s="314"/>
      <c r="B128" s="163" t="s">
        <v>128</v>
      </c>
      <c r="C128" s="157"/>
      <c r="D128" s="158"/>
      <c r="E128" s="159"/>
      <c r="F128" s="160"/>
      <c r="G128" s="161"/>
      <c r="H128" s="161"/>
      <c r="I128" s="161"/>
      <c r="J128" s="161"/>
      <c r="K128" s="161"/>
      <c r="L128" s="161"/>
      <c r="M128" s="162"/>
      <c r="N128" s="164"/>
      <c r="O128" s="60"/>
      <c r="P128" s="160"/>
      <c r="Q128" s="160"/>
      <c r="R128" s="161"/>
      <c r="S128" s="161"/>
      <c r="T128" s="161"/>
      <c r="U128" s="161"/>
      <c r="V128" s="161"/>
      <c r="W128" s="161"/>
      <c r="X128" s="162"/>
      <c r="Y128" s="162"/>
      <c r="Z128" s="161"/>
      <c r="AA128" s="162"/>
    </row>
    <row r="129" ht="15.75" customHeight="1">
      <c r="A129" s="295"/>
      <c r="B129" s="324" t="s">
        <v>129</v>
      </c>
      <c r="C129" s="152"/>
      <c r="D129" s="153"/>
      <c r="E129" s="312">
        <v>1.0</v>
      </c>
      <c r="F129" s="326" t="s">
        <v>45</v>
      </c>
      <c r="G129" s="313">
        <v>1.0</v>
      </c>
      <c r="H129" s="313"/>
      <c r="I129" s="313"/>
      <c r="J129" s="313"/>
      <c r="K129" s="290">
        <f t="shared" ref="K129:K135" si="64">(E129*G129*H129)+(I129*J129*E129*G129)</f>
        <v>0</v>
      </c>
      <c r="L129" s="291">
        <v>0.09</v>
      </c>
      <c r="M129" s="292">
        <f t="shared" ref="M129:M135" si="65">K129/(1-L129)</f>
        <v>0</v>
      </c>
      <c r="N129" s="187"/>
      <c r="O129" s="60"/>
      <c r="P129" s="312">
        <v>1.0</v>
      </c>
      <c r="Q129" s="326" t="s">
        <v>45</v>
      </c>
      <c r="R129" s="313">
        <v>1.0</v>
      </c>
      <c r="S129" s="313"/>
      <c r="T129" s="313"/>
      <c r="U129" s="313"/>
      <c r="V129" s="290">
        <f t="shared" ref="V129:V135" si="66">(P129*R129*S129)+(T129*U129*P129*R129)</f>
        <v>0</v>
      </c>
      <c r="W129" s="291">
        <v>0.09</v>
      </c>
      <c r="X129" s="292">
        <f t="shared" ref="X129:X135" si="67">V129/(1-W129)</f>
        <v>0</v>
      </c>
      <c r="Y129" s="290">
        <v>0.0</v>
      </c>
      <c r="Z129" s="291">
        <v>0.09</v>
      </c>
      <c r="AA129" s="292">
        <f t="shared" ref="AA129:AA135" si="68">Y129/(1-Z129)</f>
        <v>0</v>
      </c>
    </row>
    <row r="130" ht="15.75" customHeight="1">
      <c r="A130" s="295"/>
      <c r="B130" s="281" t="s">
        <v>130</v>
      </c>
      <c r="C130" s="42"/>
      <c r="D130" s="43"/>
      <c r="E130" s="325">
        <v>1.0</v>
      </c>
      <c r="F130" s="326" t="s">
        <v>45</v>
      </c>
      <c r="G130" s="290">
        <v>1.0</v>
      </c>
      <c r="H130" s="290"/>
      <c r="I130" s="290"/>
      <c r="J130" s="290"/>
      <c r="K130" s="290">
        <f t="shared" si="64"/>
        <v>0</v>
      </c>
      <c r="L130" s="291">
        <v>0.09</v>
      </c>
      <c r="M130" s="292">
        <f t="shared" si="65"/>
        <v>0</v>
      </c>
      <c r="N130" s="187"/>
      <c r="O130" s="60"/>
      <c r="P130" s="325">
        <v>1.0</v>
      </c>
      <c r="Q130" s="326" t="s">
        <v>45</v>
      </c>
      <c r="R130" s="290">
        <v>1.0</v>
      </c>
      <c r="S130" s="290"/>
      <c r="T130" s="290"/>
      <c r="U130" s="290"/>
      <c r="V130" s="290">
        <f t="shared" si="66"/>
        <v>0</v>
      </c>
      <c r="W130" s="291">
        <v>0.09</v>
      </c>
      <c r="X130" s="292">
        <f t="shared" si="67"/>
        <v>0</v>
      </c>
      <c r="Y130" s="290">
        <v>0.0</v>
      </c>
      <c r="Z130" s="291">
        <v>0.09</v>
      </c>
      <c r="AA130" s="292">
        <f t="shared" si="68"/>
        <v>0</v>
      </c>
    </row>
    <row r="131" ht="15.75" customHeight="1">
      <c r="A131" s="295"/>
      <c r="B131" s="281" t="s">
        <v>131</v>
      </c>
      <c r="C131" s="42"/>
      <c r="D131" s="43"/>
      <c r="E131" s="325">
        <v>1.0</v>
      </c>
      <c r="F131" s="326" t="s">
        <v>45</v>
      </c>
      <c r="G131" s="290">
        <v>1.0</v>
      </c>
      <c r="H131" s="290"/>
      <c r="I131" s="290"/>
      <c r="J131" s="290"/>
      <c r="K131" s="290">
        <f t="shared" si="64"/>
        <v>0</v>
      </c>
      <c r="L131" s="291">
        <v>0.09</v>
      </c>
      <c r="M131" s="292">
        <f t="shared" si="65"/>
        <v>0</v>
      </c>
      <c r="N131" s="187"/>
      <c r="O131" s="60"/>
      <c r="P131" s="325">
        <v>1.0</v>
      </c>
      <c r="Q131" s="326" t="s">
        <v>45</v>
      </c>
      <c r="R131" s="290">
        <v>1.0</v>
      </c>
      <c r="S131" s="290"/>
      <c r="T131" s="290"/>
      <c r="U131" s="290"/>
      <c r="V131" s="290">
        <f t="shared" si="66"/>
        <v>0</v>
      </c>
      <c r="W131" s="291">
        <v>0.09</v>
      </c>
      <c r="X131" s="292">
        <f t="shared" si="67"/>
        <v>0</v>
      </c>
      <c r="Y131" s="290">
        <v>0.0</v>
      </c>
      <c r="Z131" s="291">
        <v>0.09</v>
      </c>
      <c r="AA131" s="292">
        <f t="shared" si="68"/>
        <v>0</v>
      </c>
    </row>
    <row r="132" ht="15.75" customHeight="1">
      <c r="A132" s="295"/>
      <c r="B132" s="322" t="s">
        <v>132</v>
      </c>
      <c r="C132" s="70"/>
      <c r="D132" s="71"/>
      <c r="E132" s="325">
        <v>1.0</v>
      </c>
      <c r="F132" s="326" t="s">
        <v>45</v>
      </c>
      <c r="G132" s="290">
        <v>1.0</v>
      </c>
      <c r="H132" s="327"/>
      <c r="I132" s="327"/>
      <c r="J132" s="327"/>
      <c r="K132" s="290">
        <f t="shared" si="64"/>
        <v>0</v>
      </c>
      <c r="L132" s="291">
        <v>0.09</v>
      </c>
      <c r="M132" s="292">
        <f t="shared" si="65"/>
        <v>0</v>
      </c>
      <c r="N132" s="187"/>
      <c r="O132" s="60"/>
      <c r="P132" s="325">
        <v>1.0</v>
      </c>
      <c r="Q132" s="326" t="s">
        <v>45</v>
      </c>
      <c r="R132" s="290">
        <v>1.0</v>
      </c>
      <c r="S132" s="327"/>
      <c r="T132" s="327"/>
      <c r="U132" s="327"/>
      <c r="V132" s="290">
        <f t="shared" si="66"/>
        <v>0</v>
      </c>
      <c r="W132" s="291">
        <v>0.09</v>
      </c>
      <c r="X132" s="292">
        <f t="shared" si="67"/>
        <v>0</v>
      </c>
      <c r="Y132" s="290">
        <v>0.0</v>
      </c>
      <c r="Z132" s="291">
        <v>0.09</v>
      </c>
      <c r="AA132" s="292">
        <f t="shared" si="68"/>
        <v>0</v>
      </c>
    </row>
    <row r="133" ht="15.75" customHeight="1">
      <c r="A133" s="295"/>
      <c r="B133" s="322" t="s">
        <v>133</v>
      </c>
      <c r="C133" s="70"/>
      <c r="D133" s="71"/>
      <c r="E133" s="325">
        <v>1.0</v>
      </c>
      <c r="F133" s="326" t="s">
        <v>45</v>
      </c>
      <c r="G133" s="290">
        <v>1.0</v>
      </c>
      <c r="H133" s="327">
        <v>40000.0</v>
      </c>
      <c r="I133" s="327"/>
      <c r="J133" s="327"/>
      <c r="K133" s="290">
        <f t="shared" si="64"/>
        <v>40000</v>
      </c>
      <c r="L133" s="291">
        <v>0.09</v>
      </c>
      <c r="M133" s="292">
        <f t="shared" si="65"/>
        <v>43956.04396</v>
      </c>
      <c r="N133" s="187"/>
      <c r="O133" s="60"/>
      <c r="P133" s="325">
        <v>1.0</v>
      </c>
      <c r="Q133" s="326" t="s">
        <v>45</v>
      </c>
      <c r="R133" s="290">
        <v>1.0</v>
      </c>
      <c r="S133" s="327">
        <v>40000.0</v>
      </c>
      <c r="T133" s="327"/>
      <c r="U133" s="327"/>
      <c r="V133" s="290">
        <f t="shared" si="66"/>
        <v>40000</v>
      </c>
      <c r="W133" s="291">
        <v>0.09</v>
      </c>
      <c r="X133" s="292">
        <f t="shared" si="67"/>
        <v>43956.04396</v>
      </c>
      <c r="Y133" s="290">
        <v>0.0</v>
      </c>
      <c r="Z133" s="291">
        <v>0.09</v>
      </c>
      <c r="AA133" s="292">
        <f t="shared" si="68"/>
        <v>0</v>
      </c>
    </row>
    <row r="134" ht="15.75" customHeight="1">
      <c r="A134" s="295"/>
      <c r="B134" s="322" t="s">
        <v>134</v>
      </c>
      <c r="C134" s="70"/>
      <c r="D134" s="71"/>
      <c r="E134" s="325">
        <v>1.0</v>
      </c>
      <c r="F134" s="326" t="s">
        <v>45</v>
      </c>
      <c r="G134" s="290">
        <v>1.0</v>
      </c>
      <c r="H134" s="327">
        <v>40000.0</v>
      </c>
      <c r="I134" s="327"/>
      <c r="J134" s="327"/>
      <c r="K134" s="290">
        <f t="shared" si="64"/>
        <v>40000</v>
      </c>
      <c r="L134" s="291">
        <v>0.09</v>
      </c>
      <c r="M134" s="292">
        <f t="shared" si="65"/>
        <v>43956.04396</v>
      </c>
      <c r="N134" s="187"/>
      <c r="O134" s="60"/>
      <c r="P134" s="325">
        <v>1.0</v>
      </c>
      <c r="Q134" s="326" t="s">
        <v>45</v>
      </c>
      <c r="R134" s="290">
        <v>1.0</v>
      </c>
      <c r="S134" s="327">
        <v>40000.0</v>
      </c>
      <c r="T134" s="327"/>
      <c r="U134" s="327"/>
      <c r="V134" s="290">
        <f t="shared" si="66"/>
        <v>40000</v>
      </c>
      <c r="W134" s="291">
        <v>0.09</v>
      </c>
      <c r="X134" s="292">
        <f t="shared" si="67"/>
        <v>43956.04396</v>
      </c>
      <c r="Y134" s="290">
        <v>0.0</v>
      </c>
      <c r="Z134" s="291">
        <v>0.09</v>
      </c>
      <c r="AA134" s="292">
        <f t="shared" si="68"/>
        <v>0</v>
      </c>
    </row>
    <row r="135" ht="15.75" customHeight="1">
      <c r="A135" s="295"/>
      <c r="B135" s="322" t="s">
        <v>135</v>
      </c>
      <c r="C135" s="70"/>
      <c r="D135" s="71"/>
      <c r="E135" s="326">
        <v>1.0</v>
      </c>
      <c r="F135" s="326" t="s">
        <v>45</v>
      </c>
      <c r="G135" s="290">
        <v>1.0</v>
      </c>
      <c r="H135" s="327">
        <v>20000.0</v>
      </c>
      <c r="I135" s="327"/>
      <c r="J135" s="327"/>
      <c r="K135" s="290">
        <f t="shared" si="64"/>
        <v>20000</v>
      </c>
      <c r="L135" s="291">
        <v>0.09</v>
      </c>
      <c r="M135" s="292">
        <f t="shared" si="65"/>
        <v>21978.02198</v>
      </c>
      <c r="N135" s="187"/>
      <c r="O135" s="60"/>
      <c r="P135" s="326">
        <v>1.0</v>
      </c>
      <c r="Q135" s="326" t="s">
        <v>45</v>
      </c>
      <c r="R135" s="290">
        <v>1.0</v>
      </c>
      <c r="S135" s="327">
        <v>20000.0</v>
      </c>
      <c r="T135" s="327"/>
      <c r="U135" s="327"/>
      <c r="V135" s="290">
        <f t="shared" si="66"/>
        <v>20000</v>
      </c>
      <c r="W135" s="291">
        <v>0.09</v>
      </c>
      <c r="X135" s="292">
        <f t="shared" si="67"/>
        <v>21978.02198</v>
      </c>
      <c r="Y135" s="290">
        <v>0.0</v>
      </c>
      <c r="Z135" s="291">
        <v>0.09</v>
      </c>
      <c r="AA135" s="292">
        <f t="shared" si="68"/>
        <v>0</v>
      </c>
    </row>
    <row r="136" ht="15.75" customHeight="1">
      <c r="A136" s="314"/>
      <c r="B136" s="163" t="s">
        <v>136</v>
      </c>
      <c r="C136" s="157"/>
      <c r="D136" s="158"/>
      <c r="E136" s="159"/>
      <c r="F136" s="160"/>
      <c r="G136" s="161"/>
      <c r="H136" s="161"/>
      <c r="I136" s="161"/>
      <c r="J136" s="161"/>
      <c r="K136" s="161"/>
      <c r="L136" s="161"/>
      <c r="M136" s="162"/>
      <c r="N136" s="164"/>
      <c r="O136" s="60"/>
      <c r="P136" s="160"/>
      <c r="Q136" s="160"/>
      <c r="R136" s="161"/>
      <c r="S136" s="161"/>
      <c r="T136" s="161"/>
      <c r="U136" s="161"/>
      <c r="V136" s="161"/>
      <c r="W136" s="161"/>
      <c r="X136" s="162"/>
      <c r="Y136" s="162"/>
      <c r="Z136" s="161"/>
      <c r="AA136" s="162"/>
    </row>
    <row r="137" ht="15.75" customHeight="1">
      <c r="A137" s="295"/>
      <c r="B137" s="324" t="s">
        <v>137</v>
      </c>
      <c r="C137" s="152"/>
      <c r="D137" s="153"/>
      <c r="E137" s="312">
        <v>1.0</v>
      </c>
      <c r="F137" s="326" t="s">
        <v>45</v>
      </c>
      <c r="G137" s="313">
        <v>1.0</v>
      </c>
      <c r="H137" s="313"/>
      <c r="I137" s="313"/>
      <c r="J137" s="313"/>
      <c r="K137" s="290">
        <f t="shared" ref="K137:K140" si="69">(E137*G137*H137)+(I137*J137*E137*G137)</f>
        <v>0</v>
      </c>
      <c r="L137" s="291">
        <v>0.09</v>
      </c>
      <c r="M137" s="292">
        <f t="shared" ref="M137:M140" si="70">K137/(1-L137)</f>
        <v>0</v>
      </c>
      <c r="N137" s="187"/>
      <c r="O137" s="60"/>
      <c r="P137" s="312">
        <v>1.0</v>
      </c>
      <c r="Q137" s="326" t="s">
        <v>45</v>
      </c>
      <c r="R137" s="313">
        <v>1.0</v>
      </c>
      <c r="S137" s="313"/>
      <c r="T137" s="313"/>
      <c r="U137" s="313"/>
      <c r="V137" s="290">
        <f t="shared" ref="V137:V140" si="71">(P137*R137*S137)+(T137*U137*P137*R137)</f>
        <v>0</v>
      </c>
      <c r="W137" s="291">
        <v>0.09</v>
      </c>
      <c r="X137" s="292">
        <f t="shared" ref="X137:X140" si="72">V137/(1-W137)</f>
        <v>0</v>
      </c>
      <c r="Y137" s="290">
        <v>0.0</v>
      </c>
      <c r="Z137" s="291">
        <v>0.09</v>
      </c>
      <c r="AA137" s="292">
        <f t="shared" ref="AA137:AA140" si="73">Y137/(1-Z137)</f>
        <v>0</v>
      </c>
    </row>
    <row r="138" ht="15.75" customHeight="1">
      <c r="A138" s="295"/>
      <c r="B138" s="281" t="s">
        <v>138</v>
      </c>
      <c r="C138" s="42"/>
      <c r="D138" s="43"/>
      <c r="E138" s="325">
        <v>1.0</v>
      </c>
      <c r="F138" s="326" t="s">
        <v>45</v>
      </c>
      <c r="G138" s="290">
        <v>1.0</v>
      </c>
      <c r="H138" s="290"/>
      <c r="I138" s="290"/>
      <c r="J138" s="290"/>
      <c r="K138" s="290">
        <f t="shared" si="69"/>
        <v>0</v>
      </c>
      <c r="L138" s="291">
        <v>0.09</v>
      </c>
      <c r="M138" s="292">
        <f t="shared" si="70"/>
        <v>0</v>
      </c>
      <c r="N138" s="187"/>
      <c r="O138" s="60"/>
      <c r="P138" s="325">
        <v>1.0</v>
      </c>
      <c r="Q138" s="326" t="s">
        <v>45</v>
      </c>
      <c r="R138" s="290">
        <v>1.0</v>
      </c>
      <c r="S138" s="290"/>
      <c r="T138" s="290"/>
      <c r="U138" s="290"/>
      <c r="V138" s="290">
        <f t="shared" si="71"/>
        <v>0</v>
      </c>
      <c r="W138" s="291">
        <v>0.09</v>
      </c>
      <c r="X138" s="292">
        <f t="shared" si="72"/>
        <v>0</v>
      </c>
      <c r="Y138" s="290">
        <v>0.0</v>
      </c>
      <c r="Z138" s="291">
        <v>0.09</v>
      </c>
      <c r="AA138" s="292">
        <f t="shared" si="73"/>
        <v>0</v>
      </c>
    </row>
    <row r="139" ht="15.75" customHeight="1">
      <c r="A139" s="295"/>
      <c r="B139" s="281" t="s">
        <v>139</v>
      </c>
      <c r="C139" s="42"/>
      <c r="D139" s="43"/>
      <c r="E139" s="325">
        <v>1.0</v>
      </c>
      <c r="F139" s="326" t="s">
        <v>45</v>
      </c>
      <c r="G139" s="290">
        <v>1.0</v>
      </c>
      <c r="H139" s="290"/>
      <c r="I139" s="290"/>
      <c r="J139" s="290"/>
      <c r="K139" s="290">
        <f t="shared" si="69"/>
        <v>0</v>
      </c>
      <c r="L139" s="291">
        <v>0.09</v>
      </c>
      <c r="M139" s="292">
        <f t="shared" si="70"/>
        <v>0</v>
      </c>
      <c r="N139" s="187"/>
      <c r="O139" s="60"/>
      <c r="P139" s="325">
        <v>1.0</v>
      </c>
      <c r="Q139" s="326" t="s">
        <v>45</v>
      </c>
      <c r="R139" s="290">
        <v>1.0</v>
      </c>
      <c r="S139" s="290"/>
      <c r="T139" s="290"/>
      <c r="U139" s="290"/>
      <c r="V139" s="290">
        <f t="shared" si="71"/>
        <v>0</v>
      </c>
      <c r="W139" s="291">
        <v>0.09</v>
      </c>
      <c r="X139" s="292">
        <f t="shared" si="72"/>
        <v>0</v>
      </c>
      <c r="Y139" s="290">
        <v>0.0</v>
      </c>
      <c r="Z139" s="291">
        <v>0.09</v>
      </c>
      <c r="AA139" s="292">
        <f t="shared" si="73"/>
        <v>0</v>
      </c>
    </row>
    <row r="140" ht="15.75" customHeight="1">
      <c r="A140" s="295"/>
      <c r="B140" s="322" t="s">
        <v>140</v>
      </c>
      <c r="C140" s="70"/>
      <c r="D140" s="71"/>
      <c r="E140" s="326">
        <v>1.0</v>
      </c>
      <c r="F140" s="326" t="s">
        <v>45</v>
      </c>
      <c r="G140" s="327">
        <v>1.0</v>
      </c>
      <c r="H140" s="327"/>
      <c r="I140" s="327"/>
      <c r="J140" s="327"/>
      <c r="K140" s="290">
        <f t="shared" si="69"/>
        <v>0</v>
      </c>
      <c r="L140" s="291">
        <v>0.09</v>
      </c>
      <c r="M140" s="292">
        <f t="shared" si="70"/>
        <v>0</v>
      </c>
      <c r="N140" s="187"/>
      <c r="O140" s="60"/>
      <c r="P140" s="326">
        <v>1.0</v>
      </c>
      <c r="Q140" s="326" t="s">
        <v>45</v>
      </c>
      <c r="R140" s="327">
        <v>1.0</v>
      </c>
      <c r="S140" s="327"/>
      <c r="T140" s="327"/>
      <c r="U140" s="327"/>
      <c r="V140" s="290">
        <f t="shared" si="71"/>
        <v>0</v>
      </c>
      <c r="W140" s="291">
        <v>0.09</v>
      </c>
      <c r="X140" s="292">
        <f t="shared" si="72"/>
        <v>0</v>
      </c>
      <c r="Y140" s="290">
        <v>0.0</v>
      </c>
      <c r="Z140" s="291">
        <v>0.09</v>
      </c>
      <c r="AA140" s="292">
        <f t="shared" si="73"/>
        <v>0</v>
      </c>
    </row>
    <row r="141" ht="15.75" customHeight="1">
      <c r="A141" s="314"/>
      <c r="B141" s="163" t="s">
        <v>141</v>
      </c>
      <c r="C141" s="157"/>
      <c r="D141" s="158"/>
      <c r="E141" s="159"/>
      <c r="F141" s="160"/>
      <c r="G141" s="161"/>
      <c r="H141" s="161"/>
      <c r="I141" s="161"/>
      <c r="J141" s="161"/>
      <c r="K141" s="161"/>
      <c r="L141" s="161"/>
      <c r="M141" s="162"/>
      <c r="N141" s="164"/>
      <c r="O141" s="60"/>
      <c r="P141" s="160"/>
      <c r="Q141" s="160"/>
      <c r="R141" s="161"/>
      <c r="S141" s="161"/>
      <c r="T141" s="161"/>
      <c r="U141" s="161"/>
      <c r="V141" s="161"/>
      <c r="W141" s="161"/>
      <c r="X141" s="162"/>
      <c r="Y141" s="162"/>
      <c r="Z141" s="161"/>
      <c r="AA141" s="162"/>
    </row>
    <row r="142" ht="15.75" customHeight="1">
      <c r="A142" s="295"/>
      <c r="B142" s="335" t="s">
        <v>142</v>
      </c>
      <c r="C142" s="189"/>
      <c r="D142" s="190"/>
      <c r="E142" s="336">
        <v>1.0</v>
      </c>
      <c r="F142" s="326" t="s">
        <v>45</v>
      </c>
      <c r="G142" s="337">
        <v>1.0</v>
      </c>
      <c r="H142" s="337"/>
      <c r="I142" s="337"/>
      <c r="J142" s="337"/>
      <c r="K142" s="290">
        <f>(E142*G142*H142)+(I142*J142*E142*G142)</f>
        <v>0</v>
      </c>
      <c r="L142" s="291">
        <v>0.09</v>
      </c>
      <c r="M142" s="292">
        <f>K142/(1-L142)</f>
        <v>0</v>
      </c>
      <c r="N142" s="187"/>
      <c r="O142" s="60"/>
      <c r="P142" s="336">
        <v>1.0</v>
      </c>
      <c r="Q142" s="326" t="s">
        <v>45</v>
      </c>
      <c r="R142" s="337">
        <v>1.0</v>
      </c>
      <c r="S142" s="337"/>
      <c r="T142" s="337"/>
      <c r="U142" s="337"/>
      <c r="V142" s="290">
        <f>(P142*R142*S142)+(T142*U142*P142*R142)</f>
        <v>0</v>
      </c>
      <c r="W142" s="291">
        <v>0.09</v>
      </c>
      <c r="X142" s="292">
        <f>V142/(1-W142)</f>
        <v>0</v>
      </c>
      <c r="Y142" s="290">
        <v>0.0</v>
      </c>
      <c r="Z142" s="291">
        <v>0.09</v>
      </c>
      <c r="AA142" s="292">
        <f>Y142/(1-Z142)</f>
        <v>0</v>
      </c>
    </row>
    <row r="143" ht="15.75" customHeight="1">
      <c r="A143" s="314"/>
      <c r="B143" s="163" t="s">
        <v>143</v>
      </c>
      <c r="C143" s="157"/>
      <c r="D143" s="158"/>
      <c r="E143" s="159"/>
      <c r="F143" s="160"/>
      <c r="G143" s="161"/>
      <c r="H143" s="161"/>
      <c r="I143" s="161"/>
      <c r="J143" s="161"/>
      <c r="K143" s="161"/>
      <c r="L143" s="161"/>
      <c r="M143" s="162"/>
      <c r="N143" s="164"/>
      <c r="O143" s="60"/>
      <c r="P143" s="160"/>
      <c r="Q143" s="160"/>
      <c r="R143" s="161"/>
      <c r="S143" s="161"/>
      <c r="T143" s="161"/>
      <c r="U143" s="161"/>
      <c r="V143" s="161"/>
      <c r="W143" s="161"/>
      <c r="X143" s="162"/>
      <c r="Y143" s="162"/>
      <c r="Z143" s="161"/>
      <c r="AA143" s="162"/>
    </row>
    <row r="144" ht="15.75" customHeight="1">
      <c r="A144" s="295"/>
      <c r="B144" s="324" t="s">
        <v>144</v>
      </c>
      <c r="C144" s="152"/>
      <c r="D144" s="153"/>
      <c r="E144" s="312">
        <v>1.0</v>
      </c>
      <c r="F144" s="312" t="s">
        <v>145</v>
      </c>
      <c r="G144" s="313">
        <v>1.0</v>
      </c>
      <c r="H144" s="313"/>
      <c r="I144" s="313"/>
      <c r="J144" s="313"/>
      <c r="K144" s="290">
        <f t="shared" ref="K144:K148" si="74">(E144*G144*H144)+(I144*J144*E144*G144)</f>
        <v>0</v>
      </c>
      <c r="L144" s="291">
        <v>0.09</v>
      </c>
      <c r="M144" s="292">
        <f t="shared" ref="M144:M148" si="75">K144/(1-L144)</f>
        <v>0</v>
      </c>
      <c r="N144" s="187"/>
      <c r="O144" s="60"/>
      <c r="P144" s="312">
        <v>1.0</v>
      </c>
      <c r="Q144" s="312" t="s">
        <v>145</v>
      </c>
      <c r="R144" s="313">
        <v>1.0</v>
      </c>
      <c r="S144" s="313"/>
      <c r="T144" s="313"/>
      <c r="U144" s="313"/>
      <c r="V144" s="290">
        <f t="shared" ref="V144:V148" si="76">(P144*R144*S144)+(T144*U144*P144*R144)</f>
        <v>0</v>
      </c>
      <c r="W144" s="291">
        <v>0.09</v>
      </c>
      <c r="X144" s="292">
        <f t="shared" ref="X144:X148" si="77">V144/(1-W144)</f>
        <v>0</v>
      </c>
      <c r="Y144" s="290">
        <v>0.0</v>
      </c>
      <c r="Z144" s="291">
        <v>0.09</v>
      </c>
      <c r="AA144" s="292">
        <f t="shared" ref="AA144:AA148" si="78">Y144/(1-Z144)</f>
        <v>0</v>
      </c>
    </row>
    <row r="145" ht="15.75" customHeight="1">
      <c r="A145" s="295"/>
      <c r="B145" s="281" t="s">
        <v>146</v>
      </c>
      <c r="C145" s="42"/>
      <c r="D145" s="43"/>
      <c r="E145" s="312">
        <v>1.0</v>
      </c>
      <c r="F145" s="326" t="s">
        <v>45</v>
      </c>
      <c r="G145" s="313">
        <v>1.0</v>
      </c>
      <c r="H145" s="313"/>
      <c r="I145" s="290"/>
      <c r="J145" s="290"/>
      <c r="K145" s="290">
        <f t="shared" si="74"/>
        <v>0</v>
      </c>
      <c r="L145" s="291">
        <v>0.09</v>
      </c>
      <c r="M145" s="292">
        <f t="shared" si="75"/>
        <v>0</v>
      </c>
      <c r="N145" s="187"/>
      <c r="O145" s="60"/>
      <c r="P145" s="312">
        <v>1.0</v>
      </c>
      <c r="Q145" s="326" t="s">
        <v>45</v>
      </c>
      <c r="R145" s="313">
        <v>1.0</v>
      </c>
      <c r="S145" s="313"/>
      <c r="T145" s="290"/>
      <c r="U145" s="290"/>
      <c r="V145" s="290">
        <f t="shared" si="76"/>
        <v>0</v>
      </c>
      <c r="W145" s="291">
        <v>0.09</v>
      </c>
      <c r="X145" s="292">
        <f t="shared" si="77"/>
        <v>0</v>
      </c>
      <c r="Y145" s="290">
        <v>0.0</v>
      </c>
      <c r="Z145" s="291">
        <v>0.09</v>
      </c>
      <c r="AA145" s="292">
        <f t="shared" si="78"/>
        <v>0</v>
      </c>
    </row>
    <row r="146" ht="15.75" customHeight="1">
      <c r="A146" s="295"/>
      <c r="B146" s="281" t="s">
        <v>147</v>
      </c>
      <c r="C146" s="42"/>
      <c r="D146" s="43"/>
      <c r="E146" s="312">
        <v>1.0</v>
      </c>
      <c r="F146" s="326" t="s">
        <v>45</v>
      </c>
      <c r="G146" s="313">
        <v>1.0</v>
      </c>
      <c r="H146" s="313"/>
      <c r="I146" s="290"/>
      <c r="J146" s="290"/>
      <c r="K146" s="290">
        <f t="shared" si="74"/>
        <v>0</v>
      </c>
      <c r="L146" s="291">
        <v>0.09</v>
      </c>
      <c r="M146" s="292">
        <f t="shared" si="75"/>
        <v>0</v>
      </c>
      <c r="N146" s="187"/>
      <c r="O146" s="60"/>
      <c r="P146" s="312">
        <v>1.0</v>
      </c>
      <c r="Q146" s="326" t="s">
        <v>45</v>
      </c>
      <c r="R146" s="313">
        <v>1.0</v>
      </c>
      <c r="S146" s="313"/>
      <c r="T146" s="290"/>
      <c r="U146" s="290"/>
      <c r="V146" s="290">
        <f t="shared" si="76"/>
        <v>0</v>
      </c>
      <c r="W146" s="291">
        <v>0.09</v>
      </c>
      <c r="X146" s="292">
        <f t="shared" si="77"/>
        <v>0</v>
      </c>
      <c r="Y146" s="290">
        <v>0.0</v>
      </c>
      <c r="Z146" s="291">
        <v>0.09</v>
      </c>
      <c r="AA146" s="292">
        <f t="shared" si="78"/>
        <v>0</v>
      </c>
    </row>
    <row r="147" ht="15.75" customHeight="1">
      <c r="A147" s="295"/>
      <c r="B147" s="281" t="s">
        <v>148</v>
      </c>
      <c r="C147" s="42"/>
      <c r="D147" s="43"/>
      <c r="E147" s="312">
        <v>1.0</v>
      </c>
      <c r="F147" s="312" t="s">
        <v>145</v>
      </c>
      <c r="G147" s="313">
        <v>1.0</v>
      </c>
      <c r="H147" s="313"/>
      <c r="I147" s="290"/>
      <c r="J147" s="290"/>
      <c r="K147" s="290">
        <f t="shared" si="74"/>
        <v>0</v>
      </c>
      <c r="L147" s="291">
        <v>0.09</v>
      </c>
      <c r="M147" s="292">
        <f t="shared" si="75"/>
        <v>0</v>
      </c>
      <c r="N147" s="187"/>
      <c r="O147" s="60"/>
      <c r="P147" s="312">
        <v>1.0</v>
      </c>
      <c r="Q147" s="312" t="s">
        <v>145</v>
      </c>
      <c r="R147" s="313">
        <v>1.0</v>
      </c>
      <c r="S147" s="313"/>
      <c r="T147" s="290"/>
      <c r="U147" s="290"/>
      <c r="V147" s="290">
        <f t="shared" si="76"/>
        <v>0</v>
      </c>
      <c r="W147" s="291">
        <v>0.09</v>
      </c>
      <c r="X147" s="292">
        <f t="shared" si="77"/>
        <v>0</v>
      </c>
      <c r="Y147" s="290">
        <v>0.0</v>
      </c>
      <c r="Z147" s="291">
        <v>0.09</v>
      </c>
      <c r="AA147" s="292">
        <f t="shared" si="78"/>
        <v>0</v>
      </c>
    </row>
    <row r="148" ht="15.75" customHeight="1">
      <c r="A148" s="295"/>
      <c r="B148" s="322" t="s">
        <v>149</v>
      </c>
      <c r="C148" s="70"/>
      <c r="D148" s="71"/>
      <c r="E148" s="312">
        <v>1.0</v>
      </c>
      <c r="F148" s="326" t="s">
        <v>45</v>
      </c>
      <c r="G148" s="313">
        <v>1.0</v>
      </c>
      <c r="H148" s="313"/>
      <c r="I148" s="333"/>
      <c r="J148" s="333"/>
      <c r="K148" s="290">
        <f t="shared" si="74"/>
        <v>0</v>
      </c>
      <c r="L148" s="291">
        <v>0.09</v>
      </c>
      <c r="M148" s="292">
        <f t="shared" si="75"/>
        <v>0</v>
      </c>
      <c r="N148" s="187"/>
      <c r="O148" s="60"/>
      <c r="P148" s="312">
        <v>1.0</v>
      </c>
      <c r="Q148" s="326" t="s">
        <v>45</v>
      </c>
      <c r="R148" s="313">
        <v>1.0</v>
      </c>
      <c r="S148" s="313"/>
      <c r="T148" s="333"/>
      <c r="U148" s="333"/>
      <c r="V148" s="290">
        <f t="shared" si="76"/>
        <v>0</v>
      </c>
      <c r="W148" s="291">
        <v>0.09</v>
      </c>
      <c r="X148" s="292">
        <f t="shared" si="77"/>
        <v>0</v>
      </c>
      <c r="Y148" s="290">
        <v>0.0</v>
      </c>
      <c r="Z148" s="291">
        <v>0.09</v>
      </c>
      <c r="AA148" s="292">
        <f t="shared" si="78"/>
        <v>0</v>
      </c>
    </row>
    <row r="149" ht="15.75" customHeight="1">
      <c r="A149" s="295"/>
      <c r="B149" s="295"/>
      <c r="C149" s="295"/>
      <c r="D149" s="295"/>
      <c r="E149" s="298"/>
      <c r="F149" s="306"/>
      <c r="G149" s="300"/>
      <c r="H149" s="300"/>
      <c r="I149" s="307"/>
      <c r="J149" s="307"/>
      <c r="K149" s="307"/>
      <c r="L149" s="308" t="s">
        <v>150</v>
      </c>
      <c r="M149" s="304">
        <f>SUM(M125:M148)</f>
        <v>109890.1099</v>
      </c>
      <c r="N149" s="305"/>
      <c r="O149" s="60"/>
      <c r="P149" s="306"/>
      <c r="Q149" s="306"/>
      <c r="R149" s="300"/>
      <c r="S149" s="300"/>
      <c r="T149" s="307"/>
      <c r="U149" s="307"/>
      <c r="V149" s="307"/>
      <c r="W149" s="308" t="s">
        <v>150</v>
      </c>
      <c r="X149" s="304">
        <f>SUM(X125:X148)</f>
        <v>109890.1099</v>
      </c>
      <c r="Y149" s="320"/>
      <c r="Z149" s="308" t="s">
        <v>150</v>
      </c>
      <c r="AA149" s="304">
        <f>SUM(AA125:AA148)</f>
        <v>0</v>
      </c>
    </row>
    <row r="150" ht="9.75" customHeight="1">
      <c r="A150" s="134"/>
      <c r="B150" s="134"/>
      <c r="C150" s="134"/>
      <c r="D150" s="134"/>
      <c r="E150" s="132"/>
      <c r="F150" s="133"/>
      <c r="G150" s="134"/>
      <c r="H150" s="134"/>
      <c r="I150" s="134"/>
      <c r="J150" s="134"/>
      <c r="K150" s="134"/>
      <c r="L150" s="134"/>
      <c r="M150" s="135"/>
      <c r="N150" s="136"/>
      <c r="O150" s="60"/>
      <c r="P150" s="133"/>
      <c r="Q150" s="133"/>
      <c r="R150" s="134"/>
      <c r="S150" s="134"/>
      <c r="T150" s="134"/>
      <c r="U150" s="134"/>
      <c r="V150" s="134"/>
      <c r="W150" s="134"/>
      <c r="X150" s="135"/>
      <c r="Y150" s="321"/>
      <c r="Z150" s="134"/>
      <c r="AA150" s="321"/>
    </row>
    <row r="151" ht="15.75" customHeight="1">
      <c r="A151" s="140" t="s">
        <v>151</v>
      </c>
      <c r="B151" s="62"/>
      <c r="C151" s="62"/>
      <c r="D151" s="63"/>
      <c r="E151" s="103"/>
      <c r="F151" s="67"/>
      <c r="G151" s="64"/>
      <c r="H151" s="64"/>
      <c r="I151" s="64"/>
      <c r="J151" s="64"/>
      <c r="K151" s="64"/>
      <c r="L151" s="64"/>
      <c r="M151" s="65"/>
      <c r="N151" s="144"/>
      <c r="O151" s="60"/>
      <c r="P151" s="67"/>
      <c r="Q151" s="67"/>
      <c r="R151" s="64"/>
      <c r="S151" s="64"/>
      <c r="T151" s="64"/>
      <c r="U151" s="64"/>
      <c r="V151" s="64"/>
      <c r="W151" s="64"/>
      <c r="X151" s="65"/>
      <c r="Y151" s="65"/>
      <c r="Z151" s="64"/>
      <c r="AA151" s="65"/>
    </row>
    <row r="152" ht="15.75" customHeight="1">
      <c r="A152" s="309"/>
      <c r="B152" s="323" t="s">
        <v>152</v>
      </c>
      <c r="C152" s="146"/>
      <c r="D152" s="147"/>
      <c r="E152" s="109"/>
      <c r="F152" s="110"/>
      <c r="G152" s="111"/>
      <c r="H152" s="111"/>
      <c r="I152" s="111"/>
      <c r="J152" s="111"/>
      <c r="K152" s="111"/>
      <c r="L152" s="111"/>
      <c r="M152" s="112"/>
      <c r="N152" s="113"/>
      <c r="O152" s="60"/>
      <c r="P152" s="110"/>
      <c r="Q152" s="110"/>
      <c r="R152" s="111"/>
      <c r="S152" s="111"/>
      <c r="T152" s="111"/>
      <c r="U152" s="111"/>
      <c r="V152" s="111"/>
      <c r="W152" s="111"/>
      <c r="X152" s="112"/>
      <c r="Y152" s="112"/>
      <c r="Z152" s="111"/>
      <c r="AA152" s="112"/>
    </row>
    <row r="153" ht="15.75" customHeight="1">
      <c r="A153" s="295"/>
      <c r="B153" s="324" t="s">
        <v>153</v>
      </c>
      <c r="C153" s="152"/>
      <c r="D153" s="153"/>
      <c r="E153" s="312">
        <v>1.0</v>
      </c>
      <c r="F153" s="283" t="s">
        <v>29</v>
      </c>
      <c r="G153" s="313">
        <v>1.0</v>
      </c>
      <c r="H153" s="313"/>
      <c r="I153" s="313"/>
      <c r="J153" s="313"/>
      <c r="K153" s="290">
        <f t="shared" ref="K153:K154" si="79">(E153*G153*H153)+(I153*J153*E153*G153)</f>
        <v>0</v>
      </c>
      <c r="L153" s="291">
        <v>0.09</v>
      </c>
      <c r="M153" s="292">
        <f t="shared" ref="M153:M154" si="80">K153/(1-L153)</f>
        <v>0</v>
      </c>
      <c r="N153" s="187"/>
      <c r="O153" s="60"/>
      <c r="P153" s="312">
        <v>1.0</v>
      </c>
      <c r="Q153" s="283" t="s">
        <v>29</v>
      </c>
      <c r="R153" s="313">
        <v>1.0</v>
      </c>
      <c r="S153" s="313"/>
      <c r="T153" s="313"/>
      <c r="U153" s="313"/>
      <c r="V153" s="290">
        <f t="shared" ref="V153:V154" si="81">(P153*R153*S153)+(T153*U153*P153*R153)</f>
        <v>0</v>
      </c>
      <c r="W153" s="291">
        <v>0.09</v>
      </c>
      <c r="X153" s="292">
        <f t="shared" ref="X153:X154" si="82">V153/(1-W153)</f>
        <v>0</v>
      </c>
      <c r="Y153" s="290">
        <v>0.0</v>
      </c>
      <c r="Z153" s="291">
        <v>0.09</v>
      </c>
      <c r="AA153" s="292">
        <f t="shared" ref="AA153:AA154" si="83">Y153/(1-Z153)</f>
        <v>0</v>
      </c>
    </row>
    <row r="154" ht="15.75" customHeight="1">
      <c r="A154" s="295"/>
      <c r="B154" s="322" t="s">
        <v>154</v>
      </c>
      <c r="C154" s="70"/>
      <c r="D154" s="71"/>
      <c r="E154" s="326">
        <v>1.0</v>
      </c>
      <c r="F154" s="283" t="s">
        <v>29</v>
      </c>
      <c r="G154" s="327">
        <v>1.0</v>
      </c>
      <c r="H154" s="327"/>
      <c r="I154" s="327"/>
      <c r="J154" s="327"/>
      <c r="K154" s="290">
        <f t="shared" si="79"/>
        <v>0</v>
      </c>
      <c r="L154" s="291">
        <v>0.09</v>
      </c>
      <c r="M154" s="292">
        <f t="shared" si="80"/>
        <v>0</v>
      </c>
      <c r="N154" s="187"/>
      <c r="O154" s="60"/>
      <c r="P154" s="326">
        <v>1.0</v>
      </c>
      <c r="Q154" s="283" t="s">
        <v>29</v>
      </c>
      <c r="R154" s="327">
        <v>1.0</v>
      </c>
      <c r="S154" s="327"/>
      <c r="T154" s="327"/>
      <c r="U154" s="327"/>
      <c r="V154" s="290">
        <f t="shared" si="81"/>
        <v>0</v>
      </c>
      <c r="W154" s="291">
        <v>0.09</v>
      </c>
      <c r="X154" s="292">
        <f t="shared" si="82"/>
        <v>0</v>
      </c>
      <c r="Y154" s="290">
        <v>0.0</v>
      </c>
      <c r="Z154" s="291">
        <v>0.09</v>
      </c>
      <c r="AA154" s="292">
        <f t="shared" si="83"/>
        <v>0</v>
      </c>
    </row>
    <row r="155" ht="15.75" customHeight="1">
      <c r="A155" s="314"/>
      <c r="B155" s="163" t="s">
        <v>155</v>
      </c>
      <c r="C155" s="157"/>
      <c r="D155" s="158"/>
      <c r="E155" s="159"/>
      <c r="F155" s="160"/>
      <c r="G155" s="161"/>
      <c r="H155" s="161"/>
      <c r="I155" s="161"/>
      <c r="J155" s="161"/>
      <c r="K155" s="161"/>
      <c r="L155" s="161"/>
      <c r="M155" s="162"/>
      <c r="N155" s="164"/>
      <c r="O155" s="60"/>
      <c r="P155" s="160"/>
      <c r="Q155" s="160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</row>
    <row r="156" ht="15.75" customHeight="1">
      <c r="A156" s="295"/>
      <c r="B156" s="324" t="s">
        <v>156</v>
      </c>
      <c r="C156" s="152"/>
      <c r="D156" s="153"/>
      <c r="E156" s="312">
        <v>1.0</v>
      </c>
      <c r="F156" s="283" t="s">
        <v>29</v>
      </c>
      <c r="G156" s="313">
        <v>1.0</v>
      </c>
      <c r="H156" s="313"/>
      <c r="I156" s="313"/>
      <c r="J156" s="313"/>
      <c r="K156" s="290">
        <f t="shared" ref="K156:K157" si="84">(E156*G156*H156)+(I156*J156*E156*G156)</f>
        <v>0</v>
      </c>
      <c r="L156" s="291">
        <v>0.09</v>
      </c>
      <c r="M156" s="292">
        <f t="shared" ref="M156:M157" si="85">K156/(1-L156)</f>
        <v>0</v>
      </c>
      <c r="N156" s="187"/>
      <c r="O156" s="60"/>
      <c r="P156" s="312">
        <v>1.0</v>
      </c>
      <c r="Q156" s="283" t="s">
        <v>29</v>
      </c>
      <c r="R156" s="313">
        <v>1.0</v>
      </c>
      <c r="S156" s="313"/>
      <c r="T156" s="313"/>
      <c r="U156" s="313"/>
      <c r="V156" s="290">
        <f t="shared" ref="V156:V157" si="86">(P156*R156*S156)+(T156*U156*P156*R156)</f>
        <v>0</v>
      </c>
      <c r="W156" s="291">
        <v>0.09</v>
      </c>
      <c r="X156" s="292">
        <f t="shared" ref="X156:X157" si="87">V156/(1-W156)</f>
        <v>0</v>
      </c>
      <c r="Y156" s="290">
        <v>0.0</v>
      </c>
      <c r="Z156" s="291">
        <v>0.09</v>
      </c>
      <c r="AA156" s="292">
        <f t="shared" ref="AA156:AA157" si="88">Y156/(1-Z156)</f>
        <v>0</v>
      </c>
    </row>
    <row r="157" ht="15.75" customHeight="1">
      <c r="A157" s="295"/>
      <c r="B157" s="322" t="s">
        <v>157</v>
      </c>
      <c r="C157" s="70"/>
      <c r="D157" s="71"/>
      <c r="E157" s="326">
        <v>1.0</v>
      </c>
      <c r="F157" s="283" t="s">
        <v>29</v>
      </c>
      <c r="G157" s="327">
        <v>1.0</v>
      </c>
      <c r="H157" s="327"/>
      <c r="I157" s="327"/>
      <c r="J157" s="327"/>
      <c r="K157" s="290">
        <f t="shared" si="84"/>
        <v>0</v>
      </c>
      <c r="L157" s="291">
        <v>0.09</v>
      </c>
      <c r="M157" s="292">
        <f t="shared" si="85"/>
        <v>0</v>
      </c>
      <c r="N157" s="187"/>
      <c r="O157" s="60"/>
      <c r="P157" s="326">
        <v>1.0</v>
      </c>
      <c r="Q157" s="283" t="s">
        <v>29</v>
      </c>
      <c r="R157" s="327">
        <v>1.0</v>
      </c>
      <c r="S157" s="327"/>
      <c r="T157" s="327"/>
      <c r="U157" s="327"/>
      <c r="V157" s="290">
        <f t="shared" si="86"/>
        <v>0</v>
      </c>
      <c r="W157" s="291">
        <v>0.09</v>
      </c>
      <c r="X157" s="292">
        <f t="shared" si="87"/>
        <v>0</v>
      </c>
      <c r="Y157" s="290">
        <v>0.0</v>
      </c>
      <c r="Z157" s="291">
        <v>0.09</v>
      </c>
      <c r="AA157" s="292">
        <f t="shared" si="88"/>
        <v>0</v>
      </c>
    </row>
    <row r="158" ht="15.75" customHeight="1">
      <c r="A158" s="314"/>
      <c r="B158" s="163" t="s">
        <v>158</v>
      </c>
      <c r="C158" s="157"/>
      <c r="D158" s="158"/>
      <c r="E158" s="159"/>
      <c r="F158" s="160"/>
      <c r="G158" s="161"/>
      <c r="H158" s="161"/>
      <c r="I158" s="161"/>
      <c r="J158" s="161"/>
      <c r="K158" s="161"/>
      <c r="L158" s="161"/>
      <c r="M158" s="162"/>
      <c r="N158" s="164"/>
      <c r="O158" s="60"/>
      <c r="P158" s="160"/>
      <c r="Q158" s="160"/>
      <c r="R158" s="161"/>
      <c r="S158" s="161"/>
      <c r="T158" s="161"/>
      <c r="U158" s="161"/>
      <c r="V158" s="161"/>
      <c r="W158" s="161"/>
      <c r="X158" s="162"/>
      <c r="Y158" s="162"/>
      <c r="Z158" s="161"/>
      <c r="AA158" s="162"/>
    </row>
    <row r="159" ht="15.75" customHeight="1">
      <c r="A159" s="295"/>
      <c r="B159" s="324" t="s">
        <v>159</v>
      </c>
      <c r="C159" s="152"/>
      <c r="D159" s="153"/>
      <c r="E159" s="312">
        <v>1.0</v>
      </c>
      <c r="F159" s="283" t="s">
        <v>29</v>
      </c>
      <c r="G159" s="313">
        <v>1.0</v>
      </c>
      <c r="H159" s="313"/>
      <c r="I159" s="313"/>
      <c r="J159" s="313"/>
      <c r="K159" s="290">
        <f t="shared" ref="K159:K162" si="89">(E159*G159*H159)+(I159*J159*E159*G159)</f>
        <v>0</v>
      </c>
      <c r="L159" s="291">
        <v>0.09</v>
      </c>
      <c r="M159" s="292">
        <f t="shared" ref="M159:M162" si="90">K159/(1-L159)</f>
        <v>0</v>
      </c>
      <c r="N159" s="187"/>
      <c r="O159" s="60"/>
      <c r="P159" s="312">
        <v>1.0</v>
      </c>
      <c r="Q159" s="283" t="s">
        <v>29</v>
      </c>
      <c r="R159" s="313">
        <v>1.0</v>
      </c>
      <c r="S159" s="313"/>
      <c r="T159" s="313"/>
      <c r="U159" s="313"/>
      <c r="V159" s="290">
        <f t="shared" ref="V159:V162" si="91">(P159*R159*S159)+(T159*U159*P159*R159)</f>
        <v>0</v>
      </c>
      <c r="W159" s="291">
        <v>0.09</v>
      </c>
      <c r="X159" s="292">
        <f t="shared" ref="X159:X162" si="92">V159/(1-W159)</f>
        <v>0</v>
      </c>
      <c r="Y159" s="290">
        <v>0.0</v>
      </c>
      <c r="Z159" s="291">
        <v>0.09</v>
      </c>
      <c r="AA159" s="292">
        <f t="shared" ref="AA159:AA162" si="93">Y159/(1-Z159)</f>
        <v>0</v>
      </c>
    </row>
    <row r="160" ht="15.75" customHeight="1">
      <c r="A160" s="295"/>
      <c r="B160" s="281" t="s">
        <v>160</v>
      </c>
      <c r="C160" s="42"/>
      <c r="D160" s="43"/>
      <c r="E160" s="325">
        <v>1.0</v>
      </c>
      <c r="F160" s="283" t="s">
        <v>29</v>
      </c>
      <c r="G160" s="290">
        <v>1.0</v>
      </c>
      <c r="H160" s="290"/>
      <c r="I160" s="290"/>
      <c r="J160" s="290"/>
      <c r="K160" s="290">
        <f t="shared" si="89"/>
        <v>0</v>
      </c>
      <c r="L160" s="291">
        <v>0.09</v>
      </c>
      <c r="M160" s="292">
        <f t="shared" si="90"/>
        <v>0</v>
      </c>
      <c r="N160" s="187"/>
      <c r="O160" s="60"/>
      <c r="P160" s="325">
        <v>1.0</v>
      </c>
      <c r="Q160" s="283" t="s">
        <v>29</v>
      </c>
      <c r="R160" s="290">
        <v>1.0</v>
      </c>
      <c r="S160" s="290"/>
      <c r="T160" s="290"/>
      <c r="U160" s="290"/>
      <c r="V160" s="290">
        <f t="shared" si="91"/>
        <v>0</v>
      </c>
      <c r="W160" s="291">
        <v>0.09</v>
      </c>
      <c r="X160" s="292">
        <f t="shared" si="92"/>
        <v>0</v>
      </c>
      <c r="Y160" s="290">
        <v>0.0</v>
      </c>
      <c r="Z160" s="291">
        <v>0.09</v>
      </c>
      <c r="AA160" s="292">
        <f t="shared" si="93"/>
        <v>0</v>
      </c>
    </row>
    <row r="161" ht="15.75" customHeight="1">
      <c r="A161" s="295"/>
      <c r="B161" s="322" t="s">
        <v>161</v>
      </c>
      <c r="C161" s="70"/>
      <c r="D161" s="71"/>
      <c r="E161" s="326">
        <v>1.0</v>
      </c>
      <c r="F161" s="283" t="s">
        <v>29</v>
      </c>
      <c r="G161" s="327">
        <v>1.0</v>
      </c>
      <c r="H161" s="327"/>
      <c r="I161" s="327"/>
      <c r="J161" s="327"/>
      <c r="K161" s="290">
        <f t="shared" si="89"/>
        <v>0</v>
      </c>
      <c r="L161" s="291">
        <v>0.09</v>
      </c>
      <c r="M161" s="292">
        <f t="shared" si="90"/>
        <v>0</v>
      </c>
      <c r="N161" s="187"/>
      <c r="O161" s="60"/>
      <c r="P161" s="326">
        <v>1.0</v>
      </c>
      <c r="Q161" s="283" t="s">
        <v>29</v>
      </c>
      <c r="R161" s="327">
        <v>1.0</v>
      </c>
      <c r="S161" s="327"/>
      <c r="T161" s="327"/>
      <c r="U161" s="327"/>
      <c r="V161" s="290">
        <f t="shared" si="91"/>
        <v>0</v>
      </c>
      <c r="W161" s="291">
        <v>0.09</v>
      </c>
      <c r="X161" s="292">
        <f t="shared" si="92"/>
        <v>0</v>
      </c>
      <c r="Y161" s="290">
        <v>0.0</v>
      </c>
      <c r="Z161" s="291">
        <v>0.09</v>
      </c>
      <c r="AA161" s="292">
        <f t="shared" si="93"/>
        <v>0</v>
      </c>
    </row>
    <row r="162" ht="15.75" customHeight="1">
      <c r="A162" s="293"/>
      <c r="B162" s="322" t="s">
        <v>162</v>
      </c>
      <c r="C162" s="70"/>
      <c r="D162" s="71"/>
      <c r="E162" s="326">
        <v>1.0</v>
      </c>
      <c r="F162" s="283" t="s">
        <v>29</v>
      </c>
      <c r="G162" s="327">
        <v>1.0</v>
      </c>
      <c r="H162" s="327"/>
      <c r="I162" s="327"/>
      <c r="J162" s="327"/>
      <c r="K162" s="290">
        <f t="shared" si="89"/>
        <v>0</v>
      </c>
      <c r="L162" s="291">
        <v>0.09</v>
      </c>
      <c r="M162" s="292">
        <f t="shared" si="90"/>
        <v>0</v>
      </c>
      <c r="N162" s="187"/>
      <c r="O162" s="60"/>
      <c r="P162" s="326">
        <v>1.0</v>
      </c>
      <c r="Q162" s="283" t="s">
        <v>29</v>
      </c>
      <c r="R162" s="327">
        <v>1.0</v>
      </c>
      <c r="S162" s="327"/>
      <c r="T162" s="327"/>
      <c r="U162" s="327"/>
      <c r="V162" s="290">
        <f t="shared" si="91"/>
        <v>0</v>
      </c>
      <c r="W162" s="291">
        <v>0.09</v>
      </c>
      <c r="X162" s="292">
        <f t="shared" si="92"/>
        <v>0</v>
      </c>
      <c r="Y162" s="290">
        <v>0.0</v>
      </c>
      <c r="Z162" s="291">
        <v>0.09</v>
      </c>
      <c r="AA162" s="292">
        <f t="shared" si="93"/>
        <v>0</v>
      </c>
    </row>
    <row r="163" ht="15.75" customHeight="1">
      <c r="A163" s="314"/>
      <c r="B163" s="163" t="s">
        <v>163</v>
      </c>
      <c r="C163" s="157"/>
      <c r="D163" s="158"/>
      <c r="E163" s="159"/>
      <c r="F163" s="160"/>
      <c r="G163" s="161"/>
      <c r="H163" s="161"/>
      <c r="I163" s="161"/>
      <c r="J163" s="161"/>
      <c r="K163" s="161"/>
      <c r="L163" s="161"/>
      <c r="M163" s="162"/>
      <c r="N163" s="164"/>
      <c r="O163" s="60"/>
      <c r="P163" s="160"/>
      <c r="Q163" s="160"/>
      <c r="R163" s="161"/>
      <c r="S163" s="161"/>
      <c r="T163" s="161"/>
      <c r="U163" s="161"/>
      <c r="V163" s="161"/>
      <c r="W163" s="161"/>
      <c r="X163" s="162"/>
      <c r="Y163" s="162"/>
      <c r="Z163" s="161"/>
      <c r="AA163" s="162"/>
    </row>
    <row r="164" ht="15.75" customHeight="1">
      <c r="A164" s="295"/>
      <c r="B164" s="324" t="s">
        <v>164</v>
      </c>
      <c r="C164" s="152"/>
      <c r="D164" s="153"/>
      <c r="E164" s="312">
        <v>1.0</v>
      </c>
      <c r="F164" s="283" t="s">
        <v>29</v>
      </c>
      <c r="G164" s="313">
        <v>1.0</v>
      </c>
      <c r="H164" s="313"/>
      <c r="I164" s="313"/>
      <c r="J164" s="313"/>
      <c r="K164" s="290">
        <f t="shared" ref="K164:K165" si="94">(E164*G164*H164)+(I164*J164*E164*G164)</f>
        <v>0</v>
      </c>
      <c r="L164" s="291">
        <v>0.09</v>
      </c>
      <c r="M164" s="292">
        <f t="shared" ref="M164:M165" si="95">K164/(1-L164)</f>
        <v>0</v>
      </c>
      <c r="N164" s="187"/>
      <c r="O164" s="60"/>
      <c r="P164" s="312">
        <v>1.0</v>
      </c>
      <c r="Q164" s="283" t="s">
        <v>29</v>
      </c>
      <c r="R164" s="313">
        <v>1.0</v>
      </c>
      <c r="S164" s="313"/>
      <c r="T164" s="313"/>
      <c r="U164" s="313"/>
      <c r="V164" s="290">
        <f t="shared" ref="V164:V165" si="96">(P164*R164*S164)+(T164*U164*P164*R164)</f>
        <v>0</v>
      </c>
      <c r="W164" s="291">
        <v>0.09</v>
      </c>
      <c r="X164" s="292">
        <f t="shared" ref="X164:X165" si="97">V164/(1-W164)</f>
        <v>0</v>
      </c>
      <c r="Y164" s="290">
        <v>0.0</v>
      </c>
      <c r="Z164" s="291">
        <v>0.09</v>
      </c>
      <c r="AA164" s="292">
        <f t="shared" ref="AA164:AA165" si="98">Y164/(1-Z164)</f>
        <v>0</v>
      </c>
    </row>
    <row r="165" ht="15.75" customHeight="1">
      <c r="A165" s="295"/>
      <c r="B165" s="322" t="s">
        <v>165</v>
      </c>
      <c r="C165" s="70"/>
      <c r="D165" s="71"/>
      <c r="E165" s="338">
        <v>1.0</v>
      </c>
      <c r="F165" s="283" t="s">
        <v>29</v>
      </c>
      <c r="G165" s="339">
        <v>1.0</v>
      </c>
      <c r="H165" s="339"/>
      <c r="I165" s="339"/>
      <c r="J165" s="339"/>
      <c r="K165" s="290">
        <f t="shared" si="94"/>
        <v>0</v>
      </c>
      <c r="L165" s="291">
        <v>0.09</v>
      </c>
      <c r="M165" s="292">
        <f t="shared" si="95"/>
        <v>0</v>
      </c>
      <c r="N165" s="187"/>
      <c r="O165" s="60"/>
      <c r="P165" s="338">
        <v>1.0</v>
      </c>
      <c r="Q165" s="283" t="s">
        <v>29</v>
      </c>
      <c r="R165" s="339">
        <v>1.0</v>
      </c>
      <c r="S165" s="339"/>
      <c r="T165" s="339"/>
      <c r="U165" s="339"/>
      <c r="V165" s="290">
        <f t="shared" si="96"/>
        <v>0</v>
      </c>
      <c r="W165" s="291">
        <v>0.09</v>
      </c>
      <c r="X165" s="292">
        <f t="shared" si="97"/>
        <v>0</v>
      </c>
      <c r="Y165" s="290">
        <v>0.0</v>
      </c>
      <c r="Z165" s="291">
        <v>0.09</v>
      </c>
      <c r="AA165" s="292">
        <f t="shared" si="98"/>
        <v>0</v>
      </c>
    </row>
    <row r="166" ht="15.75" customHeight="1">
      <c r="A166" s="295"/>
      <c r="B166" s="295"/>
      <c r="C166" s="295"/>
      <c r="D166" s="295"/>
      <c r="E166" s="298"/>
      <c r="F166" s="306"/>
      <c r="G166" s="300"/>
      <c r="H166" s="300"/>
      <c r="I166" s="307"/>
      <c r="J166" s="307"/>
      <c r="K166" s="307"/>
      <c r="L166" s="308" t="s">
        <v>166</v>
      </c>
      <c r="M166" s="304">
        <f>SUM(M153:M165)</f>
        <v>0</v>
      </c>
      <c r="N166" s="305"/>
      <c r="O166" s="60"/>
      <c r="P166" s="306"/>
      <c r="Q166" s="306"/>
      <c r="R166" s="300"/>
      <c r="S166" s="300"/>
      <c r="T166" s="307"/>
      <c r="U166" s="307"/>
      <c r="V166" s="307"/>
      <c r="W166" s="308" t="s">
        <v>166</v>
      </c>
      <c r="X166" s="304">
        <f>SUM(X153:X165)</f>
        <v>0</v>
      </c>
      <c r="Y166" s="320"/>
      <c r="Z166" s="308" t="s">
        <v>166</v>
      </c>
      <c r="AA166" s="304">
        <f>SUM(AA153:AA165)</f>
        <v>0</v>
      </c>
    </row>
    <row r="167" ht="9.75" customHeight="1">
      <c r="A167" s="134"/>
      <c r="B167" s="134"/>
      <c r="C167" s="134"/>
      <c r="D167" s="134"/>
      <c r="E167" s="132"/>
      <c r="F167" s="133"/>
      <c r="G167" s="134"/>
      <c r="H167" s="134"/>
      <c r="I167" s="134"/>
      <c r="J167" s="134"/>
      <c r="K167" s="134"/>
      <c r="L167" s="134"/>
      <c r="M167" s="135"/>
      <c r="N167" s="136"/>
      <c r="O167" s="60"/>
      <c r="P167" s="133"/>
      <c r="Q167" s="133"/>
      <c r="R167" s="134"/>
      <c r="S167" s="134"/>
      <c r="T167" s="134"/>
      <c r="U167" s="134"/>
      <c r="V167" s="134"/>
      <c r="W167" s="134"/>
      <c r="X167" s="135"/>
      <c r="Y167" s="321"/>
      <c r="Z167" s="134"/>
      <c r="AA167" s="321"/>
    </row>
    <row r="168" ht="15.75" customHeight="1">
      <c r="A168" s="140" t="s">
        <v>167</v>
      </c>
      <c r="B168" s="62"/>
      <c r="C168" s="62"/>
      <c r="D168" s="63"/>
      <c r="E168" s="103"/>
      <c r="F168" s="67"/>
      <c r="G168" s="64"/>
      <c r="H168" s="64"/>
      <c r="I168" s="64"/>
      <c r="J168" s="64"/>
      <c r="K168" s="64"/>
      <c r="L168" s="64"/>
      <c r="M168" s="65"/>
      <c r="N168" s="144"/>
      <c r="O168" s="60"/>
      <c r="P168" s="67"/>
      <c r="Q168" s="67"/>
      <c r="R168" s="64"/>
      <c r="S168" s="64"/>
      <c r="T168" s="64"/>
      <c r="U168" s="64"/>
      <c r="V168" s="64"/>
      <c r="W168" s="64"/>
      <c r="X168" s="65"/>
      <c r="Y168" s="65"/>
      <c r="Z168" s="64"/>
      <c r="AA168" s="65"/>
    </row>
    <row r="169" ht="15.75" customHeight="1">
      <c r="A169" s="309"/>
      <c r="B169" s="323" t="s">
        <v>168</v>
      </c>
      <c r="C169" s="146"/>
      <c r="D169" s="147"/>
      <c r="E169" s="109"/>
      <c r="F169" s="110"/>
      <c r="G169" s="111"/>
      <c r="H169" s="111"/>
      <c r="I169" s="111"/>
      <c r="J169" s="111"/>
      <c r="K169" s="111"/>
      <c r="L169" s="111"/>
      <c r="M169" s="112"/>
      <c r="N169" s="113"/>
      <c r="O169" s="60"/>
      <c r="P169" s="110"/>
      <c r="Q169" s="110"/>
      <c r="R169" s="111"/>
      <c r="S169" s="111"/>
      <c r="T169" s="111"/>
      <c r="U169" s="111"/>
      <c r="V169" s="111"/>
      <c r="W169" s="111"/>
      <c r="X169" s="112"/>
      <c r="Y169" s="112"/>
      <c r="Z169" s="111"/>
      <c r="AA169" s="112"/>
    </row>
    <row r="170" ht="15.75" customHeight="1">
      <c r="A170" s="295"/>
      <c r="B170" s="324" t="s">
        <v>169</v>
      </c>
      <c r="C170" s="152"/>
      <c r="D170" s="153"/>
      <c r="E170" s="312">
        <v>1.0</v>
      </c>
      <c r="F170" s="312" t="s">
        <v>45</v>
      </c>
      <c r="G170" s="313">
        <v>1.0</v>
      </c>
      <c r="H170" s="313"/>
      <c r="I170" s="313"/>
      <c r="J170" s="313"/>
      <c r="K170" s="290">
        <f t="shared" ref="K170:K175" si="99">(E170*G170*H170)+(I170*J170*E170*G170)</f>
        <v>0</v>
      </c>
      <c r="L170" s="291">
        <v>0.09</v>
      </c>
      <c r="M170" s="292">
        <f t="shared" ref="M170:M175" si="100">K170/(1-L170)</f>
        <v>0</v>
      </c>
      <c r="N170" s="187"/>
      <c r="O170" s="60"/>
      <c r="P170" s="312">
        <v>1.0</v>
      </c>
      <c r="Q170" s="312" t="s">
        <v>45</v>
      </c>
      <c r="R170" s="313">
        <v>1.0</v>
      </c>
      <c r="S170" s="313"/>
      <c r="T170" s="313"/>
      <c r="U170" s="313"/>
      <c r="V170" s="290">
        <f t="shared" ref="V170:V175" si="101">(P170*R170*S170)+(T170*U170*P170*R170)</f>
        <v>0</v>
      </c>
      <c r="W170" s="291">
        <v>0.09</v>
      </c>
      <c r="X170" s="292">
        <f t="shared" ref="X170:X175" si="102">V170/(1-W170)</f>
        <v>0</v>
      </c>
      <c r="Y170" s="290">
        <v>0.0</v>
      </c>
      <c r="Z170" s="291">
        <v>0.09</v>
      </c>
      <c r="AA170" s="292">
        <f t="shared" ref="AA170:AA175" si="103">Y170/(1-Z170)</f>
        <v>0</v>
      </c>
    </row>
    <row r="171" ht="15.75" customHeight="1">
      <c r="A171" s="295"/>
      <c r="B171" s="281" t="s">
        <v>170</v>
      </c>
      <c r="C171" s="42"/>
      <c r="D171" s="43"/>
      <c r="E171" s="325">
        <v>1.0</v>
      </c>
      <c r="F171" s="312" t="s">
        <v>45</v>
      </c>
      <c r="G171" s="290">
        <v>1.0</v>
      </c>
      <c r="H171" s="290"/>
      <c r="I171" s="290"/>
      <c r="J171" s="290"/>
      <c r="K171" s="290">
        <f t="shared" si="99"/>
        <v>0</v>
      </c>
      <c r="L171" s="291">
        <v>0.09</v>
      </c>
      <c r="M171" s="292">
        <f t="shared" si="100"/>
        <v>0</v>
      </c>
      <c r="N171" s="187"/>
      <c r="O171" s="60"/>
      <c r="P171" s="325">
        <v>1.0</v>
      </c>
      <c r="Q171" s="312" t="s">
        <v>45</v>
      </c>
      <c r="R171" s="290">
        <v>1.0</v>
      </c>
      <c r="S171" s="290"/>
      <c r="T171" s="290"/>
      <c r="U171" s="290"/>
      <c r="V171" s="290">
        <f t="shared" si="101"/>
        <v>0</v>
      </c>
      <c r="W171" s="291">
        <v>0.09</v>
      </c>
      <c r="X171" s="292">
        <f t="shared" si="102"/>
        <v>0</v>
      </c>
      <c r="Y171" s="290">
        <v>0.0</v>
      </c>
      <c r="Z171" s="291">
        <v>0.09</v>
      </c>
      <c r="AA171" s="292">
        <f t="shared" si="103"/>
        <v>0</v>
      </c>
    </row>
    <row r="172" ht="15.75" customHeight="1">
      <c r="A172" s="295"/>
      <c r="B172" s="281" t="s">
        <v>171</v>
      </c>
      <c r="C172" s="42"/>
      <c r="D172" s="43"/>
      <c r="E172" s="325">
        <v>1.0</v>
      </c>
      <c r="F172" s="312" t="s">
        <v>45</v>
      </c>
      <c r="G172" s="290">
        <v>1.0</v>
      </c>
      <c r="H172" s="290"/>
      <c r="I172" s="290"/>
      <c r="J172" s="290"/>
      <c r="K172" s="290">
        <f t="shared" si="99"/>
        <v>0</v>
      </c>
      <c r="L172" s="291">
        <v>0.09</v>
      </c>
      <c r="M172" s="292">
        <f t="shared" si="100"/>
        <v>0</v>
      </c>
      <c r="N172" s="187"/>
      <c r="O172" s="60"/>
      <c r="P172" s="325">
        <v>1.0</v>
      </c>
      <c r="Q172" s="312" t="s">
        <v>45</v>
      </c>
      <c r="R172" s="290">
        <v>1.0</v>
      </c>
      <c r="S172" s="290"/>
      <c r="T172" s="290"/>
      <c r="U172" s="290"/>
      <c r="V172" s="290">
        <f t="shared" si="101"/>
        <v>0</v>
      </c>
      <c r="W172" s="291">
        <v>0.09</v>
      </c>
      <c r="X172" s="292">
        <f t="shared" si="102"/>
        <v>0</v>
      </c>
      <c r="Y172" s="290">
        <v>0.0</v>
      </c>
      <c r="Z172" s="291">
        <v>0.09</v>
      </c>
      <c r="AA172" s="292">
        <f t="shared" si="103"/>
        <v>0</v>
      </c>
    </row>
    <row r="173" ht="15.75" customHeight="1">
      <c r="A173" s="295"/>
      <c r="B173" s="281" t="s">
        <v>172</v>
      </c>
      <c r="C173" s="42"/>
      <c r="D173" s="43"/>
      <c r="E173" s="325">
        <v>1.0</v>
      </c>
      <c r="F173" s="325" t="s">
        <v>173</v>
      </c>
      <c r="G173" s="290">
        <v>1.0</v>
      </c>
      <c r="H173" s="290"/>
      <c r="I173" s="290"/>
      <c r="J173" s="290"/>
      <c r="K173" s="290">
        <f t="shared" si="99"/>
        <v>0</v>
      </c>
      <c r="L173" s="291">
        <v>0.09</v>
      </c>
      <c r="M173" s="292">
        <f t="shared" si="100"/>
        <v>0</v>
      </c>
      <c r="N173" s="187"/>
      <c r="O173" s="60"/>
      <c r="P173" s="325">
        <v>1.0</v>
      </c>
      <c r="Q173" s="325" t="s">
        <v>173</v>
      </c>
      <c r="R173" s="290">
        <v>1.0</v>
      </c>
      <c r="S173" s="290"/>
      <c r="T173" s="290"/>
      <c r="U173" s="290"/>
      <c r="V173" s="290">
        <f t="shared" si="101"/>
        <v>0</v>
      </c>
      <c r="W173" s="291">
        <v>0.09</v>
      </c>
      <c r="X173" s="292">
        <f t="shared" si="102"/>
        <v>0</v>
      </c>
      <c r="Y173" s="290">
        <v>0.0</v>
      </c>
      <c r="Z173" s="291">
        <v>0.09</v>
      </c>
      <c r="AA173" s="292">
        <f t="shared" si="103"/>
        <v>0</v>
      </c>
    </row>
    <row r="174" ht="15.75" customHeight="1">
      <c r="A174" s="295"/>
      <c r="B174" s="281" t="s">
        <v>174</v>
      </c>
      <c r="C174" s="42"/>
      <c r="D174" s="43"/>
      <c r="E174" s="325">
        <v>1.0</v>
      </c>
      <c r="F174" s="325" t="s">
        <v>173</v>
      </c>
      <c r="G174" s="290">
        <v>1.0</v>
      </c>
      <c r="H174" s="290"/>
      <c r="I174" s="290"/>
      <c r="J174" s="290"/>
      <c r="K174" s="290">
        <f t="shared" si="99"/>
        <v>0</v>
      </c>
      <c r="L174" s="291">
        <v>0.09</v>
      </c>
      <c r="M174" s="292">
        <f t="shared" si="100"/>
        <v>0</v>
      </c>
      <c r="N174" s="187"/>
      <c r="O174" s="60"/>
      <c r="P174" s="325">
        <v>1.0</v>
      </c>
      <c r="Q174" s="325" t="s">
        <v>173</v>
      </c>
      <c r="R174" s="290">
        <v>1.0</v>
      </c>
      <c r="S174" s="290"/>
      <c r="T174" s="290"/>
      <c r="U174" s="290"/>
      <c r="V174" s="290">
        <f t="shared" si="101"/>
        <v>0</v>
      </c>
      <c r="W174" s="291">
        <v>0.09</v>
      </c>
      <c r="X174" s="292">
        <f t="shared" si="102"/>
        <v>0</v>
      </c>
      <c r="Y174" s="290">
        <v>0.0</v>
      </c>
      <c r="Z174" s="291">
        <v>0.09</v>
      </c>
      <c r="AA174" s="292">
        <f t="shared" si="103"/>
        <v>0</v>
      </c>
    </row>
    <row r="175" ht="15.75" customHeight="1">
      <c r="A175" s="295"/>
      <c r="B175" s="322" t="s">
        <v>175</v>
      </c>
      <c r="C175" s="70"/>
      <c r="D175" s="71"/>
      <c r="E175" s="326">
        <v>1.0</v>
      </c>
      <c r="F175" s="325" t="s">
        <v>173</v>
      </c>
      <c r="G175" s="327">
        <v>1.0</v>
      </c>
      <c r="H175" s="327"/>
      <c r="I175" s="327"/>
      <c r="J175" s="327"/>
      <c r="K175" s="290">
        <f t="shared" si="99"/>
        <v>0</v>
      </c>
      <c r="L175" s="291">
        <v>0.09</v>
      </c>
      <c r="M175" s="292">
        <f t="shared" si="100"/>
        <v>0</v>
      </c>
      <c r="N175" s="187"/>
      <c r="O175" s="60"/>
      <c r="P175" s="326">
        <v>1.0</v>
      </c>
      <c r="Q175" s="325" t="s">
        <v>173</v>
      </c>
      <c r="R175" s="327">
        <v>1.0</v>
      </c>
      <c r="S175" s="327"/>
      <c r="T175" s="327"/>
      <c r="U175" s="327"/>
      <c r="V175" s="290">
        <f t="shared" si="101"/>
        <v>0</v>
      </c>
      <c r="W175" s="291">
        <v>0.09</v>
      </c>
      <c r="X175" s="292">
        <f t="shared" si="102"/>
        <v>0</v>
      </c>
      <c r="Y175" s="290">
        <v>0.0</v>
      </c>
      <c r="Z175" s="291">
        <v>0.09</v>
      </c>
      <c r="AA175" s="292">
        <f t="shared" si="103"/>
        <v>0</v>
      </c>
    </row>
    <row r="176" ht="15.75" customHeight="1">
      <c r="A176" s="314"/>
      <c r="B176" s="163" t="s">
        <v>176</v>
      </c>
      <c r="C176" s="157"/>
      <c r="D176" s="158"/>
      <c r="E176" s="159"/>
      <c r="F176" s="160"/>
      <c r="G176" s="161"/>
      <c r="H176" s="161"/>
      <c r="I176" s="161"/>
      <c r="J176" s="161"/>
      <c r="K176" s="161"/>
      <c r="L176" s="161"/>
      <c r="M176" s="162"/>
      <c r="N176" s="164"/>
      <c r="O176" s="60"/>
      <c r="P176" s="160"/>
      <c r="Q176" s="160"/>
      <c r="R176" s="161"/>
      <c r="S176" s="161"/>
      <c r="T176" s="161"/>
      <c r="U176" s="161"/>
      <c r="V176" s="161"/>
      <c r="W176" s="161"/>
      <c r="X176" s="162"/>
      <c r="Y176" s="161"/>
      <c r="Z176" s="161"/>
      <c r="AA176" s="162"/>
    </row>
    <row r="177" ht="15.75" customHeight="1">
      <c r="A177" s="295"/>
      <c r="B177" s="324" t="s">
        <v>177</v>
      </c>
      <c r="C177" s="152"/>
      <c r="D177" s="153"/>
      <c r="E177" s="312">
        <v>1.0</v>
      </c>
      <c r="F177" s="312" t="s">
        <v>45</v>
      </c>
      <c r="G177" s="313">
        <v>1.0</v>
      </c>
      <c r="H177" s="313"/>
      <c r="I177" s="313"/>
      <c r="J177" s="313"/>
      <c r="K177" s="290">
        <f t="shared" ref="K177:K181" si="104">(E177*G177*H177)+(I177*J177*E177*G177)</f>
        <v>0</v>
      </c>
      <c r="L177" s="291">
        <v>0.09</v>
      </c>
      <c r="M177" s="292">
        <f t="shared" ref="M177:M181" si="105">K177/(1-L177)</f>
        <v>0</v>
      </c>
      <c r="N177" s="187"/>
      <c r="O177" s="60"/>
      <c r="P177" s="312">
        <v>1.0</v>
      </c>
      <c r="Q177" s="312" t="s">
        <v>45</v>
      </c>
      <c r="R177" s="313">
        <v>1.0</v>
      </c>
      <c r="S177" s="313"/>
      <c r="T177" s="313"/>
      <c r="U177" s="313"/>
      <c r="V177" s="290">
        <f t="shared" ref="V177:V181" si="106">(P177*R177*S177)+(T177*U177*P177*R177)</f>
        <v>0</v>
      </c>
      <c r="W177" s="291">
        <v>0.09</v>
      </c>
      <c r="X177" s="292">
        <f t="shared" ref="X177:X181" si="107">V177/(1-W177)</f>
        <v>0</v>
      </c>
      <c r="Y177" s="290">
        <v>0.0</v>
      </c>
      <c r="Z177" s="291">
        <v>0.09</v>
      </c>
      <c r="AA177" s="292">
        <f t="shared" ref="AA177:AA181" si="108">Y177/(1-Z177)</f>
        <v>0</v>
      </c>
    </row>
    <row r="178" ht="15.75" customHeight="1">
      <c r="A178" s="295"/>
      <c r="B178" s="281" t="s">
        <v>178</v>
      </c>
      <c r="C178" s="42"/>
      <c r="D178" s="43"/>
      <c r="E178" s="325">
        <v>1.0</v>
      </c>
      <c r="F178" s="312" t="s">
        <v>45</v>
      </c>
      <c r="G178" s="290">
        <v>1.0</v>
      </c>
      <c r="H178" s="290"/>
      <c r="I178" s="290"/>
      <c r="J178" s="290"/>
      <c r="K178" s="290">
        <f t="shared" si="104"/>
        <v>0</v>
      </c>
      <c r="L178" s="291">
        <v>0.09</v>
      </c>
      <c r="M178" s="292">
        <f t="shared" si="105"/>
        <v>0</v>
      </c>
      <c r="N178" s="187"/>
      <c r="O178" s="60"/>
      <c r="P178" s="325">
        <v>1.0</v>
      </c>
      <c r="Q178" s="312" t="s">
        <v>45</v>
      </c>
      <c r="R178" s="290">
        <v>1.0</v>
      </c>
      <c r="S178" s="290"/>
      <c r="T178" s="290"/>
      <c r="U178" s="290"/>
      <c r="V178" s="290">
        <f t="shared" si="106"/>
        <v>0</v>
      </c>
      <c r="W178" s="291">
        <v>0.09</v>
      </c>
      <c r="X178" s="292">
        <f t="shared" si="107"/>
        <v>0</v>
      </c>
      <c r="Y178" s="290">
        <v>0.0</v>
      </c>
      <c r="Z178" s="291">
        <v>0.09</v>
      </c>
      <c r="AA178" s="292">
        <f t="shared" si="108"/>
        <v>0</v>
      </c>
    </row>
    <row r="179" ht="15.75" customHeight="1">
      <c r="A179" s="295"/>
      <c r="B179" s="281" t="s">
        <v>179</v>
      </c>
      <c r="C179" s="42"/>
      <c r="D179" s="43"/>
      <c r="E179" s="325">
        <v>1.0</v>
      </c>
      <c r="F179" s="312" t="s">
        <v>45</v>
      </c>
      <c r="G179" s="290">
        <v>1.0</v>
      </c>
      <c r="H179" s="290"/>
      <c r="I179" s="290"/>
      <c r="J179" s="290"/>
      <c r="K179" s="290">
        <f t="shared" si="104"/>
        <v>0</v>
      </c>
      <c r="L179" s="291">
        <v>0.09</v>
      </c>
      <c r="M179" s="292">
        <f t="shared" si="105"/>
        <v>0</v>
      </c>
      <c r="N179" s="187"/>
      <c r="O179" s="60"/>
      <c r="P179" s="325">
        <v>1.0</v>
      </c>
      <c r="Q179" s="312" t="s">
        <v>45</v>
      </c>
      <c r="R179" s="290">
        <v>1.0</v>
      </c>
      <c r="S179" s="290"/>
      <c r="T179" s="290"/>
      <c r="U179" s="290"/>
      <c r="V179" s="290">
        <f t="shared" si="106"/>
        <v>0</v>
      </c>
      <c r="W179" s="291">
        <v>0.09</v>
      </c>
      <c r="X179" s="292">
        <f t="shared" si="107"/>
        <v>0</v>
      </c>
      <c r="Y179" s="290">
        <v>0.0</v>
      </c>
      <c r="Z179" s="291">
        <v>0.09</v>
      </c>
      <c r="AA179" s="292">
        <f t="shared" si="108"/>
        <v>0</v>
      </c>
    </row>
    <row r="180" ht="15.75" customHeight="1">
      <c r="A180" s="295"/>
      <c r="B180" s="281" t="s">
        <v>180</v>
      </c>
      <c r="C180" s="42"/>
      <c r="D180" s="43"/>
      <c r="E180" s="325">
        <v>1.0</v>
      </c>
      <c r="F180" s="312" t="s">
        <v>45</v>
      </c>
      <c r="G180" s="290">
        <v>1.0</v>
      </c>
      <c r="H180" s="290"/>
      <c r="I180" s="290"/>
      <c r="J180" s="290"/>
      <c r="K180" s="290">
        <f t="shared" si="104"/>
        <v>0</v>
      </c>
      <c r="L180" s="291">
        <v>0.09</v>
      </c>
      <c r="M180" s="292">
        <f t="shared" si="105"/>
        <v>0</v>
      </c>
      <c r="N180" s="187"/>
      <c r="O180" s="60"/>
      <c r="P180" s="325">
        <v>1.0</v>
      </c>
      <c r="Q180" s="312" t="s">
        <v>45</v>
      </c>
      <c r="R180" s="290">
        <v>1.0</v>
      </c>
      <c r="S180" s="290"/>
      <c r="T180" s="290"/>
      <c r="U180" s="290"/>
      <c r="V180" s="290">
        <f t="shared" si="106"/>
        <v>0</v>
      </c>
      <c r="W180" s="291">
        <v>0.09</v>
      </c>
      <c r="X180" s="292">
        <f t="shared" si="107"/>
        <v>0</v>
      </c>
      <c r="Y180" s="290">
        <v>0.0</v>
      </c>
      <c r="Z180" s="291">
        <v>0.09</v>
      </c>
      <c r="AA180" s="292">
        <f t="shared" si="108"/>
        <v>0</v>
      </c>
    </row>
    <row r="181" ht="15.75" customHeight="1">
      <c r="A181" s="295"/>
      <c r="B181" s="322" t="s">
        <v>181</v>
      </c>
      <c r="C181" s="70"/>
      <c r="D181" s="71"/>
      <c r="E181" s="332">
        <v>1.0</v>
      </c>
      <c r="F181" s="312" t="s">
        <v>45</v>
      </c>
      <c r="G181" s="333">
        <v>1.0</v>
      </c>
      <c r="H181" s="333"/>
      <c r="I181" s="333"/>
      <c r="J181" s="333"/>
      <c r="K181" s="290">
        <f t="shared" si="104"/>
        <v>0</v>
      </c>
      <c r="L181" s="291">
        <v>0.09</v>
      </c>
      <c r="M181" s="292">
        <f t="shared" si="105"/>
        <v>0</v>
      </c>
      <c r="N181" s="187"/>
      <c r="O181" s="60"/>
      <c r="P181" s="332">
        <v>1.0</v>
      </c>
      <c r="Q181" s="312" t="s">
        <v>45</v>
      </c>
      <c r="R181" s="333">
        <v>1.0</v>
      </c>
      <c r="S181" s="333"/>
      <c r="T181" s="333"/>
      <c r="U181" s="333"/>
      <c r="V181" s="290">
        <f t="shared" si="106"/>
        <v>0</v>
      </c>
      <c r="W181" s="291">
        <v>0.09</v>
      </c>
      <c r="X181" s="292">
        <f t="shared" si="107"/>
        <v>0</v>
      </c>
      <c r="Y181" s="290">
        <v>0.0</v>
      </c>
      <c r="Z181" s="291">
        <v>0.09</v>
      </c>
      <c r="AA181" s="292">
        <f t="shared" si="108"/>
        <v>0</v>
      </c>
    </row>
    <row r="182" ht="15.75" customHeight="1">
      <c r="A182" s="295"/>
      <c r="B182" s="295"/>
      <c r="C182" s="295"/>
      <c r="D182" s="295"/>
      <c r="E182" s="298"/>
      <c r="F182" s="306"/>
      <c r="G182" s="300"/>
      <c r="H182" s="300"/>
      <c r="I182" s="307"/>
      <c r="J182" s="307"/>
      <c r="K182" s="307"/>
      <c r="L182" s="308" t="s">
        <v>182</v>
      </c>
      <c r="M182" s="304">
        <f>SUM(M170:M181)</f>
        <v>0</v>
      </c>
      <c r="N182" s="305"/>
      <c r="O182" s="60"/>
      <c r="P182" s="306"/>
      <c r="Q182" s="306"/>
      <c r="R182" s="300"/>
      <c r="S182" s="300"/>
      <c r="T182" s="307"/>
      <c r="U182" s="307"/>
      <c r="V182" s="307"/>
      <c r="W182" s="308" t="s">
        <v>182</v>
      </c>
      <c r="X182" s="304">
        <f>SUM(X170:X181)</f>
        <v>0</v>
      </c>
      <c r="Y182" s="307"/>
      <c r="Z182" s="308" t="s">
        <v>182</v>
      </c>
      <c r="AA182" s="304">
        <f>SUM(AA170:AA181)</f>
        <v>0</v>
      </c>
    </row>
    <row r="183" ht="9.75" customHeight="1">
      <c r="A183" s="134"/>
      <c r="B183" s="134"/>
      <c r="C183" s="134"/>
      <c r="D183" s="134"/>
      <c r="E183" s="132"/>
      <c r="F183" s="133"/>
      <c r="G183" s="134"/>
      <c r="H183" s="134"/>
      <c r="I183" s="134"/>
      <c r="J183" s="134"/>
      <c r="K183" s="134"/>
      <c r="L183" s="134"/>
      <c r="M183" s="135"/>
      <c r="N183" s="136"/>
      <c r="O183" s="60"/>
      <c r="P183" s="133"/>
      <c r="Q183" s="133"/>
      <c r="R183" s="134"/>
      <c r="S183" s="134"/>
      <c r="T183" s="134"/>
      <c r="U183" s="134"/>
      <c r="V183" s="134"/>
      <c r="W183" s="134"/>
      <c r="X183" s="135"/>
      <c r="Y183" s="321"/>
      <c r="Z183" s="134"/>
      <c r="AA183" s="321"/>
    </row>
    <row r="184" ht="15.75" customHeight="1">
      <c r="A184" s="140" t="s">
        <v>183</v>
      </c>
      <c r="B184" s="62"/>
      <c r="C184" s="62"/>
      <c r="D184" s="63"/>
      <c r="E184" s="103"/>
      <c r="F184" s="67"/>
      <c r="G184" s="64"/>
      <c r="H184" s="64"/>
      <c r="I184" s="64"/>
      <c r="J184" s="64"/>
      <c r="K184" s="64"/>
      <c r="L184" s="64"/>
      <c r="M184" s="65"/>
      <c r="N184" s="144"/>
      <c r="O184" s="60"/>
      <c r="P184" s="67"/>
      <c r="Q184" s="67"/>
      <c r="R184" s="64"/>
      <c r="S184" s="64"/>
      <c r="T184" s="64"/>
      <c r="U184" s="64"/>
      <c r="V184" s="64"/>
      <c r="W184" s="64"/>
      <c r="X184" s="65"/>
      <c r="Y184" s="64"/>
      <c r="Z184" s="64"/>
      <c r="AA184" s="65"/>
    </row>
    <row r="185" ht="15.75" customHeight="1">
      <c r="A185" s="340"/>
      <c r="B185" s="281" t="s">
        <v>184</v>
      </c>
      <c r="C185" s="42"/>
      <c r="D185" s="43"/>
      <c r="E185" s="312">
        <v>1.0</v>
      </c>
      <c r="F185" s="312" t="s">
        <v>45</v>
      </c>
      <c r="G185" s="313">
        <v>1.0</v>
      </c>
      <c r="H185" s="313"/>
      <c r="I185" s="313"/>
      <c r="J185" s="313"/>
      <c r="K185" s="290">
        <f t="shared" ref="K185:K189" si="109">(E185*G185*H185)+(I185*J185*E185*G185)</f>
        <v>0</v>
      </c>
      <c r="L185" s="291">
        <v>0.09</v>
      </c>
      <c r="M185" s="292">
        <f t="shared" ref="M185:M189" si="110">K185/(1-L185)</f>
        <v>0</v>
      </c>
      <c r="N185" s="187"/>
      <c r="O185" s="60"/>
      <c r="P185" s="312">
        <v>1.0</v>
      </c>
      <c r="Q185" s="312" t="s">
        <v>45</v>
      </c>
      <c r="R185" s="313">
        <v>1.0</v>
      </c>
      <c r="S185" s="313"/>
      <c r="T185" s="313"/>
      <c r="U185" s="313"/>
      <c r="V185" s="290">
        <f t="shared" ref="V185:V189" si="111">(P185*R185*S185)+(T185*U185*P185*R185)</f>
        <v>0</v>
      </c>
      <c r="W185" s="291">
        <v>0.09</v>
      </c>
      <c r="X185" s="292">
        <f t="shared" ref="X185:X189" si="112">V185/(1-W185)</f>
        <v>0</v>
      </c>
      <c r="Y185" s="290">
        <v>0.0</v>
      </c>
      <c r="Z185" s="291">
        <v>0.09</v>
      </c>
      <c r="AA185" s="292">
        <f t="shared" ref="AA185:AA189" si="113">Y185/(1-Z185)</f>
        <v>0</v>
      </c>
    </row>
    <row r="186" ht="15.75" customHeight="1">
      <c r="A186" s="295"/>
      <c r="B186" s="281" t="s">
        <v>185</v>
      </c>
      <c r="C186" s="42"/>
      <c r="D186" s="43"/>
      <c r="E186" s="325">
        <v>1.0</v>
      </c>
      <c r="F186" s="312" t="s">
        <v>45</v>
      </c>
      <c r="G186" s="290">
        <v>1.0</v>
      </c>
      <c r="H186" s="290"/>
      <c r="I186" s="290"/>
      <c r="J186" s="290"/>
      <c r="K186" s="290">
        <f t="shared" si="109"/>
        <v>0</v>
      </c>
      <c r="L186" s="291">
        <v>0.09</v>
      </c>
      <c r="M186" s="292">
        <f t="shared" si="110"/>
        <v>0</v>
      </c>
      <c r="N186" s="187"/>
      <c r="O186" s="60"/>
      <c r="P186" s="325">
        <v>1.0</v>
      </c>
      <c r="Q186" s="312" t="s">
        <v>45</v>
      </c>
      <c r="R186" s="290">
        <v>1.0</v>
      </c>
      <c r="S186" s="290"/>
      <c r="T186" s="290"/>
      <c r="U186" s="290"/>
      <c r="V186" s="290">
        <f t="shared" si="111"/>
        <v>0</v>
      </c>
      <c r="W186" s="291">
        <v>0.09</v>
      </c>
      <c r="X186" s="292">
        <f t="shared" si="112"/>
        <v>0</v>
      </c>
      <c r="Y186" s="290">
        <v>0.0</v>
      </c>
      <c r="Z186" s="291">
        <v>0.09</v>
      </c>
      <c r="AA186" s="292">
        <f t="shared" si="113"/>
        <v>0</v>
      </c>
    </row>
    <row r="187" ht="15.75" customHeight="1">
      <c r="A187" s="295"/>
      <c r="B187" s="281" t="s">
        <v>186</v>
      </c>
      <c r="C187" s="42"/>
      <c r="D187" s="43"/>
      <c r="E187" s="325">
        <v>1.0</v>
      </c>
      <c r="F187" s="312" t="s">
        <v>45</v>
      </c>
      <c r="G187" s="290">
        <v>1.0</v>
      </c>
      <c r="H187" s="290">
        <v>12000.0</v>
      </c>
      <c r="I187" s="290"/>
      <c r="J187" s="290">
        <v>2000.0</v>
      </c>
      <c r="K187" s="290">
        <f t="shared" si="109"/>
        <v>12000</v>
      </c>
      <c r="L187" s="291">
        <v>0.09</v>
      </c>
      <c r="M187" s="292">
        <f t="shared" si="110"/>
        <v>13186.81319</v>
      </c>
      <c r="N187" s="187"/>
      <c r="O187" s="60"/>
      <c r="P187" s="325">
        <v>1.0</v>
      </c>
      <c r="Q187" s="312" t="s">
        <v>45</v>
      </c>
      <c r="R187" s="290">
        <v>1.0</v>
      </c>
      <c r="S187" s="290">
        <v>15000.0</v>
      </c>
      <c r="T187" s="290"/>
      <c r="U187" s="290">
        <v>2000.0</v>
      </c>
      <c r="V187" s="290">
        <f t="shared" si="111"/>
        <v>15000</v>
      </c>
      <c r="W187" s="291">
        <v>0.09</v>
      </c>
      <c r="X187" s="292">
        <f t="shared" si="112"/>
        <v>16483.51648</v>
      </c>
      <c r="Y187" s="290">
        <v>0.0</v>
      </c>
      <c r="Z187" s="291">
        <v>0.09</v>
      </c>
      <c r="AA187" s="292">
        <f t="shared" si="113"/>
        <v>0</v>
      </c>
    </row>
    <row r="188" ht="15.75" customHeight="1">
      <c r="A188" s="295"/>
      <c r="B188" s="281" t="s">
        <v>187</v>
      </c>
      <c r="C188" s="42"/>
      <c r="D188" s="43"/>
      <c r="E188" s="325">
        <v>1.0</v>
      </c>
      <c r="F188" s="312" t="s">
        <v>45</v>
      </c>
      <c r="G188" s="290">
        <v>1.0</v>
      </c>
      <c r="H188" s="290">
        <v>10000.0</v>
      </c>
      <c r="I188" s="290"/>
      <c r="J188" s="290">
        <v>1500.0</v>
      </c>
      <c r="K188" s="290">
        <f t="shared" si="109"/>
        <v>10000</v>
      </c>
      <c r="L188" s="291">
        <v>0.09</v>
      </c>
      <c r="M188" s="292">
        <f t="shared" si="110"/>
        <v>10989.01099</v>
      </c>
      <c r="N188" s="187"/>
      <c r="O188" s="60"/>
      <c r="P188" s="325">
        <v>1.0</v>
      </c>
      <c r="Q188" s="312" t="s">
        <v>45</v>
      </c>
      <c r="R188" s="290">
        <v>1.0</v>
      </c>
      <c r="S188" s="290">
        <v>12500.0</v>
      </c>
      <c r="T188" s="290"/>
      <c r="U188" s="290">
        <v>1500.0</v>
      </c>
      <c r="V188" s="290">
        <f t="shared" si="111"/>
        <v>12500</v>
      </c>
      <c r="W188" s="291">
        <v>0.09</v>
      </c>
      <c r="X188" s="292">
        <f t="shared" si="112"/>
        <v>13736.26374</v>
      </c>
      <c r="Y188" s="290">
        <v>0.0</v>
      </c>
      <c r="Z188" s="291">
        <v>0.09</v>
      </c>
      <c r="AA188" s="292">
        <f t="shared" si="113"/>
        <v>0</v>
      </c>
    </row>
    <row r="189" ht="15.75" customHeight="1">
      <c r="A189" s="295"/>
      <c r="B189" s="322" t="s">
        <v>188</v>
      </c>
      <c r="C189" s="70"/>
      <c r="D189" s="71"/>
      <c r="E189" s="325">
        <v>1.0</v>
      </c>
      <c r="F189" s="325" t="s">
        <v>145</v>
      </c>
      <c r="G189" s="290">
        <v>1.0</v>
      </c>
      <c r="H189" s="290"/>
      <c r="I189" s="333"/>
      <c r="J189" s="333"/>
      <c r="K189" s="290">
        <f t="shared" si="109"/>
        <v>0</v>
      </c>
      <c r="L189" s="291">
        <v>0.09</v>
      </c>
      <c r="M189" s="292">
        <f t="shared" si="110"/>
        <v>0</v>
      </c>
      <c r="N189" s="187"/>
      <c r="O189" s="60"/>
      <c r="P189" s="325">
        <v>1.0</v>
      </c>
      <c r="Q189" s="325" t="s">
        <v>145</v>
      </c>
      <c r="R189" s="290">
        <v>1.0</v>
      </c>
      <c r="S189" s="290"/>
      <c r="T189" s="333"/>
      <c r="U189" s="333"/>
      <c r="V189" s="290">
        <f t="shared" si="111"/>
        <v>0</v>
      </c>
      <c r="W189" s="291">
        <v>0.09</v>
      </c>
      <c r="X189" s="292">
        <f t="shared" si="112"/>
        <v>0</v>
      </c>
      <c r="Y189" s="290">
        <v>0.0</v>
      </c>
      <c r="Z189" s="291">
        <v>0.09</v>
      </c>
      <c r="AA189" s="292">
        <f t="shared" si="113"/>
        <v>0</v>
      </c>
    </row>
    <row r="190" ht="15.75" customHeight="1">
      <c r="A190" s="295"/>
      <c r="B190" s="295"/>
      <c r="C190" s="295"/>
      <c r="D190" s="295"/>
      <c r="E190" s="298"/>
      <c r="F190" s="306"/>
      <c r="G190" s="300"/>
      <c r="H190" s="300"/>
      <c r="I190" s="307"/>
      <c r="J190" s="307"/>
      <c r="K190" s="307"/>
      <c r="L190" s="308" t="s">
        <v>189</v>
      </c>
      <c r="M190" s="304">
        <f>SUM(M185:M189)</f>
        <v>24175.82418</v>
      </c>
      <c r="N190" s="305"/>
      <c r="O190" s="60"/>
      <c r="P190" s="306"/>
      <c r="Q190" s="306"/>
      <c r="R190" s="300"/>
      <c r="S190" s="300"/>
      <c r="T190" s="307"/>
      <c r="U190" s="307"/>
      <c r="V190" s="307"/>
      <c r="W190" s="308" t="s">
        <v>189</v>
      </c>
      <c r="X190" s="304">
        <f>SUM(X185:X189)</f>
        <v>30219.78022</v>
      </c>
      <c r="Y190" s="307"/>
      <c r="Z190" s="308" t="s">
        <v>189</v>
      </c>
      <c r="AA190" s="304">
        <f>SUM(AA185:AA189)</f>
        <v>0</v>
      </c>
    </row>
    <row r="191" ht="9.75" customHeight="1">
      <c r="A191" s="134"/>
      <c r="B191" s="134"/>
      <c r="C191" s="134"/>
      <c r="D191" s="134"/>
      <c r="E191" s="132"/>
      <c r="F191" s="133"/>
      <c r="G191" s="134"/>
      <c r="H191" s="134"/>
      <c r="I191" s="134"/>
      <c r="J191" s="134"/>
      <c r="K191" s="134"/>
      <c r="L191" s="134"/>
      <c r="M191" s="135"/>
      <c r="N191" s="136"/>
      <c r="O191" s="60"/>
      <c r="P191" s="133"/>
      <c r="Q191" s="133"/>
      <c r="R191" s="134"/>
      <c r="S191" s="134"/>
      <c r="T191" s="134"/>
      <c r="U191" s="134"/>
      <c r="V191" s="134"/>
      <c r="W191" s="134"/>
      <c r="X191" s="135"/>
      <c r="Y191" s="321"/>
      <c r="Z191" s="134"/>
      <c r="AA191" s="321"/>
    </row>
    <row r="192" ht="15.75" customHeight="1">
      <c r="A192" s="140" t="s">
        <v>190</v>
      </c>
      <c r="B192" s="62"/>
      <c r="C192" s="62"/>
      <c r="D192" s="63"/>
      <c r="E192" s="103"/>
      <c r="F192" s="67"/>
      <c r="G192" s="64"/>
      <c r="H192" s="64"/>
      <c r="I192" s="64"/>
      <c r="J192" s="64"/>
      <c r="K192" s="64"/>
      <c r="L192" s="64"/>
      <c r="M192" s="65"/>
      <c r="N192" s="144"/>
      <c r="O192" s="60"/>
      <c r="P192" s="67"/>
      <c r="Q192" s="67"/>
      <c r="R192" s="64"/>
      <c r="S192" s="64"/>
      <c r="T192" s="64"/>
      <c r="U192" s="64"/>
      <c r="V192" s="64"/>
      <c r="W192" s="64"/>
      <c r="X192" s="65"/>
      <c r="Y192" s="64"/>
      <c r="Z192" s="64"/>
      <c r="AA192" s="65"/>
    </row>
    <row r="193" ht="15.75" customHeight="1">
      <c r="A193" s="309"/>
      <c r="B193" s="323" t="s">
        <v>42</v>
      </c>
      <c r="C193" s="146"/>
      <c r="D193" s="147"/>
      <c r="E193" s="109"/>
      <c r="F193" s="110"/>
      <c r="G193" s="111"/>
      <c r="H193" s="111"/>
      <c r="I193" s="111"/>
      <c r="J193" s="111"/>
      <c r="K193" s="111"/>
      <c r="L193" s="111"/>
      <c r="M193" s="112"/>
      <c r="N193" s="113"/>
      <c r="O193" s="60"/>
      <c r="P193" s="110"/>
      <c r="Q193" s="110"/>
      <c r="R193" s="111"/>
      <c r="S193" s="111"/>
      <c r="T193" s="111"/>
      <c r="U193" s="111"/>
      <c r="V193" s="111"/>
      <c r="W193" s="111"/>
      <c r="X193" s="112"/>
      <c r="Y193" s="111"/>
      <c r="Z193" s="111"/>
      <c r="AA193" s="112"/>
    </row>
    <row r="194" ht="15.75" customHeight="1">
      <c r="A194" s="295"/>
      <c r="B194" s="335" t="s">
        <v>191</v>
      </c>
      <c r="C194" s="189"/>
      <c r="D194" s="190"/>
      <c r="E194" s="336">
        <v>1.0</v>
      </c>
      <c r="F194" s="336" t="s">
        <v>45</v>
      </c>
      <c r="G194" s="337">
        <v>1.0</v>
      </c>
      <c r="H194" s="337"/>
      <c r="I194" s="337"/>
      <c r="J194" s="337"/>
      <c r="K194" s="290">
        <f>(E194*G194*H194)+(I194*J194*E194*G194)</f>
        <v>0</v>
      </c>
      <c r="L194" s="291">
        <v>0.09</v>
      </c>
      <c r="M194" s="292">
        <f>K194/(1-L194)</f>
        <v>0</v>
      </c>
      <c r="N194" s="187"/>
      <c r="O194" s="60"/>
      <c r="P194" s="336">
        <v>1.0</v>
      </c>
      <c r="Q194" s="336" t="s">
        <v>45</v>
      </c>
      <c r="R194" s="337">
        <v>1.0</v>
      </c>
      <c r="S194" s="337"/>
      <c r="T194" s="337"/>
      <c r="U194" s="337"/>
      <c r="V194" s="290">
        <f>(P194*R194*S194)+(T194*U194*P194*R194)</f>
        <v>0</v>
      </c>
      <c r="W194" s="291">
        <v>0.09</v>
      </c>
      <c r="X194" s="292">
        <f>V194/(1-W194)</f>
        <v>0</v>
      </c>
      <c r="Y194" s="290">
        <v>0.0</v>
      </c>
      <c r="Z194" s="291">
        <v>0.09</v>
      </c>
      <c r="AA194" s="292">
        <f>Y194/(1-Z194)</f>
        <v>0</v>
      </c>
    </row>
    <row r="195" ht="15.75" customHeight="1">
      <c r="A195" s="314"/>
      <c r="B195" s="163" t="s">
        <v>192</v>
      </c>
      <c r="C195" s="157"/>
      <c r="D195" s="158"/>
      <c r="E195" s="159"/>
      <c r="F195" s="160"/>
      <c r="G195" s="161"/>
      <c r="H195" s="161"/>
      <c r="I195" s="161"/>
      <c r="J195" s="161"/>
      <c r="K195" s="161"/>
      <c r="L195" s="161"/>
      <c r="M195" s="162"/>
      <c r="N195" s="164"/>
      <c r="O195" s="60"/>
      <c r="P195" s="160"/>
      <c r="Q195" s="160"/>
      <c r="R195" s="161"/>
      <c r="S195" s="161"/>
      <c r="T195" s="161"/>
      <c r="U195" s="161"/>
      <c r="V195" s="161"/>
      <c r="W195" s="161"/>
      <c r="X195" s="162"/>
      <c r="Y195" s="161"/>
      <c r="Z195" s="161"/>
      <c r="AA195" s="162"/>
    </row>
    <row r="196" ht="15.75" customHeight="1">
      <c r="A196" s="295"/>
      <c r="B196" s="324" t="s">
        <v>193</v>
      </c>
      <c r="C196" s="152"/>
      <c r="D196" s="153"/>
      <c r="E196" s="312">
        <v>1.0</v>
      </c>
      <c r="F196" s="312" t="s">
        <v>45</v>
      </c>
      <c r="G196" s="313">
        <v>1.0</v>
      </c>
      <c r="H196" s="313"/>
      <c r="I196" s="313"/>
      <c r="J196" s="313"/>
      <c r="K196" s="290">
        <f t="shared" ref="K196:K208" si="114">(E196*G196*H196)+(I196*J196*E196*G196)</f>
        <v>0</v>
      </c>
      <c r="L196" s="291">
        <v>0.09</v>
      </c>
      <c r="M196" s="292">
        <f t="shared" ref="M196:M208" si="115">K196/(1-L196)</f>
        <v>0</v>
      </c>
      <c r="N196" s="187"/>
      <c r="O196" s="60"/>
      <c r="P196" s="312">
        <v>1.0</v>
      </c>
      <c r="Q196" s="312" t="s">
        <v>45</v>
      </c>
      <c r="R196" s="313">
        <v>1.0</v>
      </c>
      <c r="S196" s="313"/>
      <c r="T196" s="313"/>
      <c r="U196" s="313"/>
      <c r="V196" s="290">
        <f t="shared" ref="V196:V208" si="116">(P196*R196*S196)+(T196*U196*P196*R196)</f>
        <v>0</v>
      </c>
      <c r="W196" s="291">
        <v>0.09</v>
      </c>
      <c r="X196" s="292">
        <f t="shared" ref="X196:X208" si="117">V196/(1-W196)</f>
        <v>0</v>
      </c>
      <c r="Y196" s="290">
        <v>0.0</v>
      </c>
      <c r="Z196" s="291">
        <v>0.09</v>
      </c>
      <c r="AA196" s="292">
        <f t="shared" ref="AA196:AA208" si="118">Y196/(1-Z196)</f>
        <v>0</v>
      </c>
    </row>
    <row r="197" ht="15.75" customHeight="1">
      <c r="A197" s="295"/>
      <c r="B197" s="281" t="s">
        <v>194</v>
      </c>
      <c r="C197" s="42"/>
      <c r="D197" s="43"/>
      <c r="E197" s="312">
        <v>1.0</v>
      </c>
      <c r="F197" s="312" t="s">
        <v>45</v>
      </c>
      <c r="G197" s="313">
        <v>1.0</v>
      </c>
      <c r="H197" s="313"/>
      <c r="I197" s="290"/>
      <c r="J197" s="290"/>
      <c r="K197" s="290">
        <f t="shared" si="114"/>
        <v>0</v>
      </c>
      <c r="L197" s="291">
        <v>0.09</v>
      </c>
      <c r="M197" s="292">
        <f t="shared" si="115"/>
        <v>0</v>
      </c>
      <c r="N197" s="187"/>
      <c r="O197" s="60"/>
      <c r="P197" s="312">
        <v>1.0</v>
      </c>
      <c r="Q197" s="312" t="s">
        <v>45</v>
      </c>
      <c r="R197" s="313">
        <v>1.0</v>
      </c>
      <c r="S197" s="313"/>
      <c r="T197" s="290"/>
      <c r="U197" s="290"/>
      <c r="V197" s="290">
        <f t="shared" si="116"/>
        <v>0</v>
      </c>
      <c r="W197" s="291">
        <v>0.09</v>
      </c>
      <c r="X197" s="292">
        <f t="shared" si="117"/>
        <v>0</v>
      </c>
      <c r="Y197" s="290">
        <v>0.0</v>
      </c>
      <c r="Z197" s="291">
        <v>0.09</v>
      </c>
      <c r="AA197" s="292">
        <f t="shared" si="118"/>
        <v>0</v>
      </c>
    </row>
    <row r="198" ht="15.75" customHeight="1">
      <c r="A198" s="295"/>
      <c r="B198" s="281" t="s">
        <v>195</v>
      </c>
      <c r="C198" s="42"/>
      <c r="D198" s="43"/>
      <c r="E198" s="312">
        <v>1.0</v>
      </c>
      <c r="F198" s="312" t="s">
        <v>45</v>
      </c>
      <c r="G198" s="313">
        <v>1.0</v>
      </c>
      <c r="H198" s="313"/>
      <c r="I198" s="290"/>
      <c r="J198" s="290"/>
      <c r="K198" s="290">
        <f t="shared" si="114"/>
        <v>0</v>
      </c>
      <c r="L198" s="291">
        <v>0.09</v>
      </c>
      <c r="M198" s="292">
        <f t="shared" si="115"/>
        <v>0</v>
      </c>
      <c r="N198" s="187"/>
      <c r="O198" s="60"/>
      <c r="P198" s="312">
        <v>1.0</v>
      </c>
      <c r="Q198" s="312" t="s">
        <v>45</v>
      </c>
      <c r="R198" s="313">
        <v>1.0</v>
      </c>
      <c r="S198" s="313"/>
      <c r="T198" s="290"/>
      <c r="U198" s="290"/>
      <c r="V198" s="290">
        <f t="shared" si="116"/>
        <v>0</v>
      </c>
      <c r="W198" s="291">
        <v>0.09</v>
      </c>
      <c r="X198" s="292">
        <f t="shared" si="117"/>
        <v>0</v>
      </c>
      <c r="Y198" s="290">
        <v>0.0</v>
      </c>
      <c r="Z198" s="291">
        <v>0.09</v>
      </c>
      <c r="AA198" s="292">
        <f t="shared" si="118"/>
        <v>0</v>
      </c>
    </row>
    <row r="199" ht="15.75" customHeight="1">
      <c r="A199" s="295"/>
      <c r="B199" s="281" t="s">
        <v>196</v>
      </c>
      <c r="C199" s="42"/>
      <c r="D199" s="43"/>
      <c r="E199" s="312">
        <v>1.0</v>
      </c>
      <c r="F199" s="312" t="s">
        <v>45</v>
      </c>
      <c r="G199" s="313">
        <v>1.0</v>
      </c>
      <c r="H199" s="313"/>
      <c r="I199" s="290"/>
      <c r="J199" s="290"/>
      <c r="K199" s="290">
        <f t="shared" si="114"/>
        <v>0</v>
      </c>
      <c r="L199" s="291">
        <v>0.09</v>
      </c>
      <c r="M199" s="292">
        <f t="shared" si="115"/>
        <v>0</v>
      </c>
      <c r="N199" s="187"/>
      <c r="O199" s="60"/>
      <c r="P199" s="312">
        <v>1.0</v>
      </c>
      <c r="Q199" s="312" t="s">
        <v>45</v>
      </c>
      <c r="R199" s="313">
        <v>1.0</v>
      </c>
      <c r="S199" s="313"/>
      <c r="T199" s="290"/>
      <c r="U199" s="290"/>
      <c r="V199" s="290">
        <f t="shared" si="116"/>
        <v>0</v>
      </c>
      <c r="W199" s="291">
        <v>0.09</v>
      </c>
      <c r="X199" s="292">
        <f t="shared" si="117"/>
        <v>0</v>
      </c>
      <c r="Y199" s="290">
        <v>0.0</v>
      </c>
      <c r="Z199" s="291">
        <v>0.09</v>
      </c>
      <c r="AA199" s="292">
        <f t="shared" si="118"/>
        <v>0</v>
      </c>
    </row>
    <row r="200" ht="15.75" customHeight="1">
      <c r="A200" s="295"/>
      <c r="B200" s="281" t="s">
        <v>197</v>
      </c>
      <c r="C200" s="42"/>
      <c r="D200" s="43"/>
      <c r="E200" s="312">
        <v>1.0</v>
      </c>
      <c r="F200" s="312" t="s">
        <v>45</v>
      </c>
      <c r="G200" s="313">
        <v>1.0</v>
      </c>
      <c r="H200" s="313"/>
      <c r="I200" s="290"/>
      <c r="J200" s="290"/>
      <c r="K200" s="290">
        <f t="shared" si="114"/>
        <v>0</v>
      </c>
      <c r="L200" s="291">
        <v>0.09</v>
      </c>
      <c r="M200" s="292">
        <f t="shared" si="115"/>
        <v>0</v>
      </c>
      <c r="N200" s="187"/>
      <c r="O200" s="60"/>
      <c r="P200" s="312">
        <v>1.0</v>
      </c>
      <c r="Q200" s="312" t="s">
        <v>45</v>
      </c>
      <c r="R200" s="313">
        <v>1.0</v>
      </c>
      <c r="S200" s="313"/>
      <c r="T200" s="290"/>
      <c r="U200" s="290"/>
      <c r="V200" s="290">
        <f t="shared" si="116"/>
        <v>0</v>
      </c>
      <c r="W200" s="291">
        <v>0.09</v>
      </c>
      <c r="X200" s="292">
        <f t="shared" si="117"/>
        <v>0</v>
      </c>
      <c r="Y200" s="290">
        <v>0.0</v>
      </c>
      <c r="Z200" s="291">
        <v>0.09</v>
      </c>
      <c r="AA200" s="292">
        <f t="shared" si="118"/>
        <v>0</v>
      </c>
    </row>
    <row r="201" ht="15.75" customHeight="1">
      <c r="A201" s="295"/>
      <c r="B201" s="281" t="s">
        <v>198</v>
      </c>
      <c r="C201" s="42"/>
      <c r="D201" s="43"/>
      <c r="E201" s="312">
        <v>1.0</v>
      </c>
      <c r="F201" s="312" t="s">
        <v>45</v>
      </c>
      <c r="G201" s="313">
        <v>1.0</v>
      </c>
      <c r="H201" s="313"/>
      <c r="I201" s="290"/>
      <c r="J201" s="290"/>
      <c r="K201" s="290">
        <f t="shared" si="114"/>
        <v>0</v>
      </c>
      <c r="L201" s="291">
        <v>0.09</v>
      </c>
      <c r="M201" s="292">
        <f t="shared" si="115"/>
        <v>0</v>
      </c>
      <c r="N201" s="187"/>
      <c r="O201" s="60"/>
      <c r="P201" s="312">
        <v>1.0</v>
      </c>
      <c r="Q201" s="312" t="s">
        <v>45</v>
      </c>
      <c r="R201" s="313">
        <v>1.0</v>
      </c>
      <c r="S201" s="313"/>
      <c r="T201" s="290"/>
      <c r="U201" s="290"/>
      <c r="V201" s="290">
        <f t="shared" si="116"/>
        <v>0</v>
      </c>
      <c r="W201" s="291">
        <v>0.09</v>
      </c>
      <c r="X201" s="292">
        <f t="shared" si="117"/>
        <v>0</v>
      </c>
      <c r="Y201" s="290">
        <v>0.0</v>
      </c>
      <c r="Z201" s="291">
        <v>0.09</v>
      </c>
      <c r="AA201" s="292">
        <f t="shared" si="118"/>
        <v>0</v>
      </c>
    </row>
    <row r="202" ht="15.75" customHeight="1">
      <c r="A202" s="295"/>
      <c r="B202" s="281" t="s">
        <v>199</v>
      </c>
      <c r="C202" s="42"/>
      <c r="D202" s="43"/>
      <c r="E202" s="312">
        <v>1.0</v>
      </c>
      <c r="F202" s="312" t="s">
        <v>45</v>
      </c>
      <c r="G202" s="313">
        <v>1.0</v>
      </c>
      <c r="H202" s="313"/>
      <c r="I202" s="290"/>
      <c r="J202" s="290"/>
      <c r="K202" s="290">
        <f t="shared" si="114"/>
        <v>0</v>
      </c>
      <c r="L202" s="291">
        <v>0.09</v>
      </c>
      <c r="M202" s="292">
        <f t="shared" si="115"/>
        <v>0</v>
      </c>
      <c r="N202" s="187"/>
      <c r="O202" s="60"/>
      <c r="P202" s="312">
        <v>1.0</v>
      </c>
      <c r="Q202" s="312" t="s">
        <v>45</v>
      </c>
      <c r="R202" s="313">
        <v>1.0</v>
      </c>
      <c r="S202" s="313"/>
      <c r="T202" s="290"/>
      <c r="U202" s="290"/>
      <c r="V202" s="290">
        <f t="shared" si="116"/>
        <v>0</v>
      </c>
      <c r="W202" s="291">
        <v>0.09</v>
      </c>
      <c r="X202" s="292">
        <f t="shared" si="117"/>
        <v>0</v>
      </c>
      <c r="Y202" s="290">
        <v>0.0</v>
      </c>
      <c r="Z202" s="291">
        <v>0.09</v>
      </c>
      <c r="AA202" s="292">
        <f t="shared" si="118"/>
        <v>0</v>
      </c>
    </row>
    <row r="203" ht="15.75" customHeight="1">
      <c r="A203" s="295"/>
      <c r="B203" s="281" t="s">
        <v>200</v>
      </c>
      <c r="C203" s="42"/>
      <c r="D203" s="43"/>
      <c r="E203" s="312">
        <v>1.0</v>
      </c>
      <c r="F203" s="312" t="s">
        <v>45</v>
      </c>
      <c r="G203" s="313">
        <v>1.0</v>
      </c>
      <c r="H203" s="313"/>
      <c r="I203" s="290"/>
      <c r="J203" s="290"/>
      <c r="K203" s="290">
        <f t="shared" si="114"/>
        <v>0</v>
      </c>
      <c r="L203" s="291">
        <v>0.09</v>
      </c>
      <c r="M203" s="292">
        <f t="shared" si="115"/>
        <v>0</v>
      </c>
      <c r="N203" s="187"/>
      <c r="O203" s="60"/>
      <c r="P203" s="312">
        <v>1.0</v>
      </c>
      <c r="Q203" s="312" t="s">
        <v>45</v>
      </c>
      <c r="R203" s="313">
        <v>1.0</v>
      </c>
      <c r="S203" s="313"/>
      <c r="T203" s="290"/>
      <c r="U203" s="290"/>
      <c r="V203" s="290">
        <f t="shared" si="116"/>
        <v>0</v>
      </c>
      <c r="W203" s="291">
        <v>0.09</v>
      </c>
      <c r="X203" s="292">
        <f t="shared" si="117"/>
        <v>0</v>
      </c>
      <c r="Y203" s="290">
        <v>0.0</v>
      </c>
      <c r="Z203" s="291">
        <v>0.09</v>
      </c>
      <c r="AA203" s="292">
        <f t="shared" si="118"/>
        <v>0</v>
      </c>
    </row>
    <row r="204" ht="15.75" customHeight="1">
      <c r="A204" s="295"/>
      <c r="B204" s="281" t="s">
        <v>201</v>
      </c>
      <c r="C204" s="42"/>
      <c r="D204" s="43"/>
      <c r="E204" s="312">
        <v>1.0</v>
      </c>
      <c r="F204" s="312" t="s">
        <v>45</v>
      </c>
      <c r="G204" s="313">
        <v>1.0</v>
      </c>
      <c r="H204" s="313"/>
      <c r="I204" s="290"/>
      <c r="J204" s="290"/>
      <c r="K204" s="290">
        <f t="shared" si="114"/>
        <v>0</v>
      </c>
      <c r="L204" s="291">
        <v>0.09</v>
      </c>
      <c r="M204" s="292">
        <f t="shared" si="115"/>
        <v>0</v>
      </c>
      <c r="N204" s="187"/>
      <c r="O204" s="60"/>
      <c r="P204" s="312">
        <v>1.0</v>
      </c>
      <c r="Q204" s="312" t="s">
        <v>45</v>
      </c>
      <c r="R204" s="313">
        <v>1.0</v>
      </c>
      <c r="S204" s="313"/>
      <c r="T204" s="290"/>
      <c r="U204" s="290"/>
      <c r="V204" s="290">
        <f t="shared" si="116"/>
        <v>0</v>
      </c>
      <c r="W204" s="291">
        <v>0.09</v>
      </c>
      <c r="X204" s="292">
        <f t="shared" si="117"/>
        <v>0</v>
      </c>
      <c r="Y204" s="290">
        <v>0.0</v>
      </c>
      <c r="Z204" s="291">
        <v>0.09</v>
      </c>
      <c r="AA204" s="292">
        <f t="shared" si="118"/>
        <v>0</v>
      </c>
    </row>
    <row r="205" ht="15.75" customHeight="1">
      <c r="A205" s="295"/>
      <c r="B205" s="281" t="s">
        <v>202</v>
      </c>
      <c r="C205" s="42"/>
      <c r="D205" s="43"/>
      <c r="E205" s="312">
        <v>1.0</v>
      </c>
      <c r="F205" s="312" t="s">
        <v>45</v>
      </c>
      <c r="G205" s="313">
        <v>1.0</v>
      </c>
      <c r="H205" s="313"/>
      <c r="I205" s="290"/>
      <c r="J205" s="290"/>
      <c r="K205" s="290">
        <f t="shared" si="114"/>
        <v>0</v>
      </c>
      <c r="L205" s="291">
        <v>0.09</v>
      </c>
      <c r="M205" s="292">
        <f t="shared" si="115"/>
        <v>0</v>
      </c>
      <c r="N205" s="187"/>
      <c r="O205" s="60"/>
      <c r="P205" s="312">
        <v>1.0</v>
      </c>
      <c r="Q205" s="312" t="s">
        <v>45</v>
      </c>
      <c r="R205" s="313">
        <v>1.0</v>
      </c>
      <c r="S205" s="313"/>
      <c r="T205" s="290"/>
      <c r="U205" s="290"/>
      <c r="V205" s="290">
        <f t="shared" si="116"/>
        <v>0</v>
      </c>
      <c r="W205" s="291">
        <v>0.09</v>
      </c>
      <c r="X205" s="292">
        <f t="shared" si="117"/>
        <v>0</v>
      </c>
      <c r="Y205" s="290">
        <v>0.0</v>
      </c>
      <c r="Z205" s="291">
        <v>0.09</v>
      </c>
      <c r="AA205" s="292">
        <f t="shared" si="118"/>
        <v>0</v>
      </c>
    </row>
    <row r="206" ht="15.75" customHeight="1">
      <c r="A206" s="295"/>
      <c r="B206" s="281" t="s">
        <v>203</v>
      </c>
      <c r="C206" s="42"/>
      <c r="D206" s="43"/>
      <c r="E206" s="312">
        <v>1.0</v>
      </c>
      <c r="F206" s="312" t="s">
        <v>45</v>
      </c>
      <c r="G206" s="313">
        <v>1.0</v>
      </c>
      <c r="H206" s="313"/>
      <c r="I206" s="290"/>
      <c r="J206" s="290"/>
      <c r="K206" s="290">
        <f t="shared" si="114"/>
        <v>0</v>
      </c>
      <c r="L206" s="291">
        <v>0.09</v>
      </c>
      <c r="M206" s="292">
        <f t="shared" si="115"/>
        <v>0</v>
      </c>
      <c r="N206" s="187"/>
      <c r="O206" s="60"/>
      <c r="P206" s="312">
        <v>1.0</v>
      </c>
      <c r="Q206" s="312" t="s">
        <v>45</v>
      </c>
      <c r="R206" s="313">
        <v>1.0</v>
      </c>
      <c r="S206" s="313"/>
      <c r="T206" s="290"/>
      <c r="U206" s="290"/>
      <c r="V206" s="290">
        <f t="shared" si="116"/>
        <v>0</v>
      </c>
      <c r="W206" s="291">
        <v>0.09</v>
      </c>
      <c r="X206" s="292">
        <f t="shared" si="117"/>
        <v>0</v>
      </c>
      <c r="Y206" s="290">
        <v>0.0</v>
      </c>
      <c r="Z206" s="291">
        <v>0.09</v>
      </c>
      <c r="AA206" s="292">
        <f t="shared" si="118"/>
        <v>0</v>
      </c>
    </row>
    <row r="207" ht="15.75" customHeight="1">
      <c r="A207" s="295"/>
      <c r="B207" s="322" t="s">
        <v>204</v>
      </c>
      <c r="C207" s="70"/>
      <c r="D207" s="71"/>
      <c r="E207" s="312">
        <v>1.0</v>
      </c>
      <c r="F207" s="312" t="s">
        <v>45</v>
      </c>
      <c r="G207" s="313">
        <v>1.0</v>
      </c>
      <c r="H207" s="313"/>
      <c r="I207" s="333"/>
      <c r="J207" s="333"/>
      <c r="K207" s="290">
        <f t="shared" si="114"/>
        <v>0</v>
      </c>
      <c r="L207" s="291">
        <v>0.09</v>
      </c>
      <c r="M207" s="292">
        <f t="shared" si="115"/>
        <v>0</v>
      </c>
      <c r="N207" s="187"/>
      <c r="O207" s="60"/>
      <c r="P207" s="312">
        <v>1.0</v>
      </c>
      <c r="Q207" s="312" t="s">
        <v>45</v>
      </c>
      <c r="R207" s="313">
        <v>1.0</v>
      </c>
      <c r="S207" s="313"/>
      <c r="T207" s="333"/>
      <c r="U207" s="333"/>
      <c r="V207" s="290">
        <f t="shared" si="116"/>
        <v>0</v>
      </c>
      <c r="W207" s="291">
        <v>0.09</v>
      </c>
      <c r="X207" s="292">
        <f t="shared" si="117"/>
        <v>0</v>
      </c>
      <c r="Y207" s="290">
        <v>0.0</v>
      </c>
      <c r="Z207" s="291">
        <v>0.09</v>
      </c>
      <c r="AA207" s="292">
        <f t="shared" si="118"/>
        <v>0</v>
      </c>
    </row>
    <row r="208" ht="15.75" customHeight="1">
      <c r="A208" s="295"/>
      <c r="B208" s="322" t="s">
        <v>205</v>
      </c>
      <c r="C208" s="70"/>
      <c r="D208" s="71"/>
      <c r="E208" s="312">
        <v>1.0</v>
      </c>
      <c r="F208" s="312" t="s">
        <v>45</v>
      </c>
      <c r="G208" s="313">
        <v>1.0</v>
      </c>
      <c r="H208" s="313"/>
      <c r="I208" s="333"/>
      <c r="J208" s="333"/>
      <c r="K208" s="290">
        <f t="shared" si="114"/>
        <v>0</v>
      </c>
      <c r="L208" s="291">
        <v>0.09</v>
      </c>
      <c r="M208" s="292">
        <f t="shared" si="115"/>
        <v>0</v>
      </c>
      <c r="N208" s="187"/>
      <c r="O208" s="60"/>
      <c r="P208" s="312">
        <v>1.0</v>
      </c>
      <c r="Q208" s="312" t="s">
        <v>45</v>
      </c>
      <c r="R208" s="313">
        <v>1.0</v>
      </c>
      <c r="S208" s="313"/>
      <c r="T208" s="333"/>
      <c r="U208" s="333"/>
      <c r="V208" s="290">
        <f t="shared" si="116"/>
        <v>0</v>
      </c>
      <c r="W208" s="291">
        <v>0.09</v>
      </c>
      <c r="X208" s="292">
        <f t="shared" si="117"/>
        <v>0</v>
      </c>
      <c r="Y208" s="290">
        <v>0.0</v>
      </c>
      <c r="Z208" s="291">
        <v>0.09</v>
      </c>
      <c r="AA208" s="292">
        <f t="shared" si="118"/>
        <v>0</v>
      </c>
    </row>
    <row r="209" ht="15.75" customHeight="1">
      <c r="A209" s="295"/>
      <c r="B209" s="295"/>
      <c r="C209" s="295"/>
      <c r="D209" s="295"/>
      <c r="E209" s="298"/>
      <c r="F209" s="306"/>
      <c r="G209" s="300"/>
      <c r="H209" s="300"/>
      <c r="I209" s="307"/>
      <c r="J209" s="307"/>
      <c r="K209" s="307"/>
      <c r="L209" s="308" t="s">
        <v>206</v>
      </c>
      <c r="M209" s="304">
        <f>SUM(M194:M208)</f>
        <v>0</v>
      </c>
      <c r="N209" s="305"/>
      <c r="O209" s="60"/>
      <c r="P209" s="306"/>
      <c r="Q209" s="306"/>
      <c r="R209" s="300"/>
      <c r="S209" s="300"/>
      <c r="T209" s="307"/>
      <c r="U209" s="307"/>
      <c r="V209" s="307"/>
      <c r="W209" s="308" t="s">
        <v>206</v>
      </c>
      <c r="X209" s="304">
        <f>SUM(X194:X208)</f>
        <v>0</v>
      </c>
      <c r="Y209" s="307"/>
      <c r="Z209" s="308" t="s">
        <v>206</v>
      </c>
      <c r="AA209" s="304">
        <f>SUM(AA194:AA208)</f>
        <v>0</v>
      </c>
    </row>
    <row r="210" ht="9.75" customHeight="1">
      <c r="A210" s="134"/>
      <c r="B210" s="134"/>
      <c r="C210" s="134"/>
      <c r="D210" s="134"/>
      <c r="E210" s="132"/>
      <c r="F210" s="133"/>
      <c r="G210" s="134"/>
      <c r="H210" s="134"/>
      <c r="I210" s="134"/>
      <c r="J210" s="134"/>
      <c r="K210" s="134"/>
      <c r="L210" s="134"/>
      <c r="M210" s="135"/>
      <c r="N210" s="136"/>
      <c r="O210" s="60"/>
      <c r="P210" s="133"/>
      <c r="Q210" s="133"/>
      <c r="R210" s="134"/>
      <c r="S210" s="134"/>
      <c r="T210" s="134"/>
      <c r="U210" s="134"/>
      <c r="V210" s="134"/>
      <c r="W210" s="134"/>
      <c r="X210" s="135"/>
      <c r="Y210" s="321"/>
      <c r="Z210" s="134"/>
      <c r="AA210" s="321"/>
    </row>
    <row r="211" ht="15.75" customHeight="1">
      <c r="A211" s="140" t="s">
        <v>281</v>
      </c>
      <c r="B211" s="62"/>
      <c r="C211" s="62"/>
      <c r="D211" s="63"/>
      <c r="E211" s="103"/>
      <c r="F211" s="67"/>
      <c r="G211" s="64"/>
      <c r="H211" s="64"/>
      <c r="I211" s="64"/>
      <c r="J211" s="64"/>
      <c r="K211" s="64"/>
      <c r="L211" s="64"/>
      <c r="M211" s="65"/>
      <c r="N211" s="144"/>
      <c r="O211" s="60"/>
      <c r="P211" s="67"/>
      <c r="Q211" s="67"/>
      <c r="R211" s="64"/>
      <c r="S211" s="64"/>
      <c r="T211" s="64"/>
      <c r="U211" s="64"/>
      <c r="V211" s="64"/>
      <c r="W211" s="64"/>
      <c r="X211" s="65"/>
      <c r="Y211" s="64"/>
      <c r="Z211" s="64"/>
      <c r="AA211" s="65"/>
    </row>
    <row r="212" ht="15.75" customHeight="1">
      <c r="A212" s="341"/>
      <c r="B212" s="163" t="s">
        <v>208</v>
      </c>
      <c r="C212" s="157"/>
      <c r="D212" s="158"/>
      <c r="E212" s="163" t="s">
        <v>208</v>
      </c>
      <c r="F212" s="157"/>
      <c r="G212" s="158"/>
      <c r="H212" s="161"/>
      <c r="I212" s="161"/>
      <c r="J212" s="161"/>
      <c r="K212" s="161"/>
      <c r="L212" s="161"/>
      <c r="M212" s="162"/>
      <c r="N212" s="164"/>
      <c r="O212" s="60"/>
      <c r="P212" s="342" t="s">
        <v>208</v>
      </c>
      <c r="Q212" s="157"/>
      <c r="R212" s="158"/>
      <c r="S212" s="159"/>
      <c r="T212" s="160"/>
      <c r="U212" s="161"/>
      <c r="V212" s="161"/>
      <c r="W212" s="161"/>
      <c r="X212" s="161"/>
      <c r="Y212" s="161"/>
      <c r="Z212" s="161"/>
      <c r="AA212" s="162"/>
    </row>
    <row r="213" ht="15.75" customHeight="1">
      <c r="A213" s="341"/>
      <c r="B213" s="324" t="s">
        <v>209</v>
      </c>
      <c r="C213" s="152"/>
      <c r="D213" s="153"/>
      <c r="E213" s="312">
        <v>1.0</v>
      </c>
      <c r="F213" s="312" t="s">
        <v>29</v>
      </c>
      <c r="G213" s="313">
        <v>1.0</v>
      </c>
      <c r="H213" s="313"/>
      <c r="I213" s="313"/>
      <c r="J213" s="313"/>
      <c r="K213" s="290">
        <f t="shared" ref="K213:K214" si="119">(E213*G213*H213)+(I213*J213*E213*G213)</f>
        <v>0</v>
      </c>
      <c r="L213" s="291">
        <v>0.09</v>
      </c>
      <c r="M213" s="292">
        <f t="shared" ref="M213:M214" si="120">K213/(1-L213)</f>
        <v>0</v>
      </c>
      <c r="N213" s="187"/>
      <c r="O213" s="60"/>
      <c r="P213" s="312">
        <v>1.0</v>
      </c>
      <c r="Q213" s="312" t="s">
        <v>29</v>
      </c>
      <c r="R213" s="313">
        <v>1.0</v>
      </c>
      <c r="S213" s="313"/>
      <c r="T213" s="313"/>
      <c r="U213" s="313"/>
      <c r="V213" s="290">
        <f t="shared" ref="V213:V214" si="121">(P213*R213*S213)+(T213*U213*P213*R213)</f>
        <v>0</v>
      </c>
      <c r="W213" s="291">
        <v>0.09</v>
      </c>
      <c r="X213" s="292">
        <f t="shared" ref="X213:X214" si="122">V213/(1-W213)</f>
        <v>0</v>
      </c>
      <c r="Y213" s="290">
        <v>0.0</v>
      </c>
      <c r="Z213" s="291">
        <v>0.09</v>
      </c>
      <c r="AA213" s="292">
        <f t="shared" ref="AA213:AA214" si="123">Y213/(1-Z213)</f>
        <v>0</v>
      </c>
    </row>
    <row r="214" ht="15.75" customHeight="1">
      <c r="A214" s="341"/>
      <c r="B214" s="324" t="s">
        <v>210</v>
      </c>
      <c r="C214" s="152"/>
      <c r="D214" s="153"/>
      <c r="E214" s="312">
        <v>1.0</v>
      </c>
      <c r="F214" s="312" t="s">
        <v>29</v>
      </c>
      <c r="G214" s="313">
        <v>1.0</v>
      </c>
      <c r="H214" s="313"/>
      <c r="I214" s="313"/>
      <c r="J214" s="313"/>
      <c r="K214" s="290">
        <f t="shared" si="119"/>
        <v>0</v>
      </c>
      <c r="L214" s="291">
        <v>0.09</v>
      </c>
      <c r="M214" s="292">
        <f t="shared" si="120"/>
        <v>0</v>
      </c>
      <c r="N214" s="187"/>
      <c r="O214" s="60"/>
      <c r="P214" s="312">
        <v>1.0</v>
      </c>
      <c r="Q214" s="312" t="s">
        <v>29</v>
      </c>
      <c r="R214" s="313">
        <v>1.0</v>
      </c>
      <c r="S214" s="313"/>
      <c r="T214" s="313"/>
      <c r="U214" s="313"/>
      <c r="V214" s="290">
        <f t="shared" si="121"/>
        <v>0</v>
      </c>
      <c r="W214" s="291">
        <v>0.09</v>
      </c>
      <c r="X214" s="292">
        <f t="shared" si="122"/>
        <v>0</v>
      </c>
      <c r="Y214" s="290">
        <v>0.0</v>
      </c>
      <c r="Z214" s="291">
        <v>0.09</v>
      </c>
      <c r="AA214" s="292">
        <f t="shared" si="123"/>
        <v>0</v>
      </c>
    </row>
    <row r="215" ht="15.75" customHeight="1">
      <c r="A215" s="280"/>
      <c r="B215" s="163" t="s">
        <v>211</v>
      </c>
      <c r="C215" s="157"/>
      <c r="D215" s="158"/>
      <c r="E215" s="159"/>
      <c r="F215" s="160"/>
      <c r="G215" s="161"/>
      <c r="H215" s="161"/>
      <c r="I215" s="161"/>
      <c r="J215" s="161"/>
      <c r="K215" s="161"/>
      <c r="L215" s="161"/>
      <c r="M215" s="162"/>
      <c r="N215" s="164"/>
      <c r="O215" s="60"/>
      <c r="P215" s="160"/>
      <c r="Q215" s="160"/>
      <c r="R215" s="161"/>
      <c r="S215" s="161"/>
      <c r="T215" s="161"/>
      <c r="U215" s="161"/>
      <c r="V215" s="161"/>
      <c r="W215" s="161"/>
      <c r="X215" s="162"/>
      <c r="Y215" s="162"/>
      <c r="Z215" s="161"/>
      <c r="AA215" s="162"/>
    </row>
    <row r="216" ht="15.75" customHeight="1">
      <c r="A216" s="293"/>
      <c r="B216" s="324" t="s">
        <v>212</v>
      </c>
      <c r="C216" s="152"/>
      <c r="D216" s="153"/>
      <c r="E216" s="312">
        <v>1.0</v>
      </c>
      <c r="F216" s="312" t="s">
        <v>45</v>
      </c>
      <c r="G216" s="313">
        <v>1.0</v>
      </c>
      <c r="H216" s="313"/>
      <c r="I216" s="313"/>
      <c r="J216" s="313"/>
      <c r="K216" s="290">
        <f t="shared" ref="K216:K221" si="124">(E216*G216*H216)+(I216*J216*E216*G216)</f>
        <v>0</v>
      </c>
      <c r="L216" s="291">
        <v>0.09</v>
      </c>
      <c r="M216" s="292">
        <f t="shared" ref="M216:M221" si="125">K216/(1-L216)</f>
        <v>0</v>
      </c>
      <c r="N216" s="187"/>
      <c r="O216" s="60"/>
      <c r="P216" s="312">
        <v>1.0</v>
      </c>
      <c r="Q216" s="312" t="s">
        <v>45</v>
      </c>
      <c r="R216" s="313">
        <v>1.0</v>
      </c>
      <c r="S216" s="313"/>
      <c r="T216" s="313"/>
      <c r="U216" s="313"/>
      <c r="V216" s="290">
        <f t="shared" ref="V216:V221" si="126">(P216*R216*S216)+(T216*U216*P216*R216)</f>
        <v>0</v>
      </c>
      <c r="W216" s="291">
        <v>0.09</v>
      </c>
      <c r="X216" s="292">
        <f t="shared" ref="X216:X221" si="127">V216/(1-W216)</f>
        <v>0</v>
      </c>
      <c r="Y216" s="290">
        <v>0.0</v>
      </c>
      <c r="Z216" s="291">
        <v>0.09</v>
      </c>
      <c r="AA216" s="292">
        <f t="shared" ref="AA216:AA221" si="128">Y216/(1-Z216)</f>
        <v>0</v>
      </c>
    </row>
    <row r="217" ht="15.75" customHeight="1">
      <c r="A217" s="293"/>
      <c r="B217" s="324" t="s">
        <v>213</v>
      </c>
      <c r="C217" s="152"/>
      <c r="D217" s="153"/>
      <c r="E217" s="312">
        <v>1.0</v>
      </c>
      <c r="F217" s="312" t="s">
        <v>45</v>
      </c>
      <c r="G217" s="313">
        <v>1.0</v>
      </c>
      <c r="H217" s="313"/>
      <c r="I217" s="313"/>
      <c r="J217" s="313"/>
      <c r="K217" s="290">
        <f t="shared" si="124"/>
        <v>0</v>
      </c>
      <c r="L217" s="291">
        <v>0.09</v>
      </c>
      <c r="M217" s="292">
        <f t="shared" si="125"/>
        <v>0</v>
      </c>
      <c r="N217" s="187"/>
      <c r="O217" s="60"/>
      <c r="P217" s="312">
        <v>1.0</v>
      </c>
      <c r="Q217" s="312" t="s">
        <v>45</v>
      </c>
      <c r="R217" s="313">
        <v>1.0</v>
      </c>
      <c r="S217" s="313"/>
      <c r="T217" s="313"/>
      <c r="U217" s="313"/>
      <c r="V217" s="290">
        <f t="shared" si="126"/>
        <v>0</v>
      </c>
      <c r="W217" s="291">
        <v>0.09</v>
      </c>
      <c r="X217" s="292">
        <f t="shared" si="127"/>
        <v>0</v>
      </c>
      <c r="Y217" s="290">
        <v>0.0</v>
      </c>
      <c r="Z217" s="291">
        <v>0.09</v>
      </c>
      <c r="AA217" s="292">
        <f t="shared" si="128"/>
        <v>0</v>
      </c>
    </row>
    <row r="218" ht="15.75" customHeight="1">
      <c r="A218" s="293"/>
      <c r="B218" s="324" t="s">
        <v>214</v>
      </c>
      <c r="C218" s="152"/>
      <c r="D218" s="153"/>
      <c r="E218" s="312">
        <v>1.0</v>
      </c>
      <c r="F218" s="312" t="s">
        <v>45</v>
      </c>
      <c r="G218" s="313">
        <v>1.0</v>
      </c>
      <c r="H218" s="313"/>
      <c r="I218" s="313"/>
      <c r="J218" s="313"/>
      <c r="K218" s="290">
        <f t="shared" si="124"/>
        <v>0</v>
      </c>
      <c r="L218" s="291">
        <v>0.09</v>
      </c>
      <c r="M218" s="292">
        <f t="shared" si="125"/>
        <v>0</v>
      </c>
      <c r="N218" s="187"/>
      <c r="O218" s="60"/>
      <c r="P218" s="312">
        <v>1.0</v>
      </c>
      <c r="Q218" s="312" t="s">
        <v>45</v>
      </c>
      <c r="R218" s="313">
        <v>1.0</v>
      </c>
      <c r="S218" s="313"/>
      <c r="T218" s="313"/>
      <c r="U218" s="313"/>
      <c r="V218" s="290">
        <f t="shared" si="126"/>
        <v>0</v>
      </c>
      <c r="W218" s="291">
        <v>0.09</v>
      </c>
      <c r="X218" s="292">
        <f t="shared" si="127"/>
        <v>0</v>
      </c>
      <c r="Y218" s="290">
        <v>0.0</v>
      </c>
      <c r="Z218" s="291">
        <v>0.09</v>
      </c>
      <c r="AA218" s="292">
        <f t="shared" si="128"/>
        <v>0</v>
      </c>
    </row>
    <row r="219" ht="15.75" customHeight="1">
      <c r="A219" s="293"/>
      <c r="B219" s="328" t="s">
        <v>78</v>
      </c>
      <c r="C219" s="6"/>
      <c r="D219" s="166"/>
      <c r="E219" s="325">
        <v>1.0</v>
      </c>
      <c r="F219" s="312" t="s">
        <v>45</v>
      </c>
      <c r="G219" s="290">
        <v>1.0</v>
      </c>
      <c r="H219" s="290"/>
      <c r="I219" s="290"/>
      <c r="J219" s="290"/>
      <c r="K219" s="290">
        <f t="shared" si="124"/>
        <v>0</v>
      </c>
      <c r="L219" s="291">
        <v>0.09</v>
      </c>
      <c r="M219" s="292">
        <f t="shared" si="125"/>
        <v>0</v>
      </c>
      <c r="N219" s="187"/>
      <c r="O219" s="60"/>
      <c r="P219" s="325">
        <v>1.0</v>
      </c>
      <c r="Q219" s="312" t="s">
        <v>45</v>
      </c>
      <c r="R219" s="290">
        <v>1.0</v>
      </c>
      <c r="S219" s="290"/>
      <c r="T219" s="290"/>
      <c r="U219" s="290"/>
      <c r="V219" s="290">
        <f t="shared" si="126"/>
        <v>0</v>
      </c>
      <c r="W219" s="291">
        <v>0.09</v>
      </c>
      <c r="X219" s="292">
        <f t="shared" si="127"/>
        <v>0</v>
      </c>
      <c r="Y219" s="290">
        <v>0.0</v>
      </c>
      <c r="Z219" s="291">
        <v>0.09</v>
      </c>
      <c r="AA219" s="292">
        <f t="shared" si="128"/>
        <v>0</v>
      </c>
    </row>
    <row r="220" ht="15.75" customHeight="1">
      <c r="A220" s="293"/>
      <c r="B220" s="324" t="s">
        <v>97</v>
      </c>
      <c r="C220" s="152"/>
      <c r="D220" s="153"/>
      <c r="E220" s="312">
        <v>1.0</v>
      </c>
      <c r="F220" s="312" t="s">
        <v>45</v>
      </c>
      <c r="G220" s="313">
        <v>1.0</v>
      </c>
      <c r="H220" s="313"/>
      <c r="I220" s="313"/>
      <c r="J220" s="313"/>
      <c r="K220" s="290">
        <f t="shared" si="124"/>
        <v>0</v>
      </c>
      <c r="L220" s="291">
        <v>0.09</v>
      </c>
      <c r="M220" s="292">
        <f t="shared" si="125"/>
        <v>0</v>
      </c>
      <c r="N220" s="187"/>
      <c r="O220" s="60"/>
      <c r="P220" s="312">
        <v>1.0</v>
      </c>
      <c r="Q220" s="312" t="s">
        <v>45</v>
      </c>
      <c r="R220" s="313">
        <v>1.0</v>
      </c>
      <c r="S220" s="313"/>
      <c r="T220" s="313"/>
      <c r="U220" s="313"/>
      <c r="V220" s="290">
        <f t="shared" si="126"/>
        <v>0</v>
      </c>
      <c r="W220" s="291">
        <v>0.09</v>
      </c>
      <c r="X220" s="292">
        <f t="shared" si="127"/>
        <v>0</v>
      </c>
      <c r="Y220" s="290">
        <v>0.0</v>
      </c>
      <c r="Z220" s="291">
        <v>0.09</v>
      </c>
      <c r="AA220" s="292">
        <f t="shared" si="128"/>
        <v>0</v>
      </c>
    </row>
    <row r="221" ht="15.75" customHeight="1">
      <c r="A221" s="293"/>
      <c r="B221" s="281" t="s">
        <v>104</v>
      </c>
      <c r="C221" s="42"/>
      <c r="D221" s="43"/>
      <c r="E221" s="312">
        <v>1.0</v>
      </c>
      <c r="F221" s="312" t="s">
        <v>45</v>
      </c>
      <c r="G221" s="313">
        <v>1.0</v>
      </c>
      <c r="H221" s="313"/>
      <c r="I221" s="313"/>
      <c r="J221" s="313"/>
      <c r="K221" s="290">
        <f t="shared" si="124"/>
        <v>0</v>
      </c>
      <c r="L221" s="291">
        <v>0.09</v>
      </c>
      <c r="M221" s="292">
        <f t="shared" si="125"/>
        <v>0</v>
      </c>
      <c r="N221" s="187"/>
      <c r="O221" s="60"/>
      <c r="P221" s="312">
        <v>1.0</v>
      </c>
      <c r="Q221" s="312" t="s">
        <v>45</v>
      </c>
      <c r="R221" s="313">
        <v>1.0</v>
      </c>
      <c r="S221" s="313"/>
      <c r="T221" s="313"/>
      <c r="U221" s="313"/>
      <c r="V221" s="290">
        <f t="shared" si="126"/>
        <v>0</v>
      </c>
      <c r="W221" s="291">
        <v>0.09</v>
      </c>
      <c r="X221" s="292">
        <f t="shared" si="127"/>
        <v>0</v>
      </c>
      <c r="Y221" s="290">
        <v>0.0</v>
      </c>
      <c r="Z221" s="291">
        <v>0.09</v>
      </c>
      <c r="AA221" s="292">
        <f t="shared" si="128"/>
        <v>0</v>
      </c>
    </row>
    <row r="222" ht="15.75" customHeight="1">
      <c r="A222" s="295"/>
      <c r="B222" s="331" t="s">
        <v>215</v>
      </c>
      <c r="C222" s="171"/>
      <c r="D222" s="172"/>
      <c r="E222" s="159"/>
      <c r="F222" s="160"/>
      <c r="G222" s="161"/>
      <c r="H222" s="161"/>
      <c r="I222" s="161"/>
      <c r="J222" s="161"/>
      <c r="K222" s="161"/>
      <c r="L222" s="161"/>
      <c r="M222" s="162"/>
      <c r="N222" s="164"/>
      <c r="O222" s="60"/>
      <c r="P222" s="160"/>
      <c r="Q222" s="160"/>
      <c r="R222" s="161"/>
      <c r="S222" s="161"/>
      <c r="T222" s="161"/>
      <c r="U222" s="161"/>
      <c r="V222" s="161"/>
      <c r="W222" s="161"/>
      <c r="X222" s="162"/>
      <c r="Y222" s="162"/>
      <c r="Z222" s="162"/>
      <c r="AA222" s="162"/>
    </row>
    <row r="223" ht="15.75" customHeight="1">
      <c r="A223" s="295"/>
      <c r="B223" s="324" t="s">
        <v>216</v>
      </c>
      <c r="C223" s="152"/>
      <c r="D223" s="153"/>
      <c r="E223" s="312">
        <v>1.0</v>
      </c>
      <c r="F223" s="312" t="s">
        <v>145</v>
      </c>
      <c r="G223" s="313">
        <v>1.0</v>
      </c>
      <c r="H223" s="313"/>
      <c r="I223" s="313"/>
      <c r="J223" s="313"/>
      <c r="K223" s="290">
        <f t="shared" ref="K223:K232" si="129">(E223*G223*H223)+(I223*J223*E223*G223)</f>
        <v>0</v>
      </c>
      <c r="L223" s="291">
        <v>0.09</v>
      </c>
      <c r="M223" s="292">
        <f t="shared" ref="M223:M232" si="130">K223/(1-L223)</f>
        <v>0</v>
      </c>
      <c r="N223" s="187"/>
      <c r="O223" s="60"/>
      <c r="P223" s="312">
        <v>1.0</v>
      </c>
      <c r="Q223" s="312" t="s">
        <v>145</v>
      </c>
      <c r="R223" s="313">
        <v>1.0</v>
      </c>
      <c r="S223" s="313"/>
      <c r="T223" s="313"/>
      <c r="U223" s="313"/>
      <c r="V223" s="290">
        <f t="shared" ref="V223:V232" si="131">(P223*R223*S223)+(T223*U223*P223*R223)</f>
        <v>0</v>
      </c>
      <c r="W223" s="291">
        <v>0.09</v>
      </c>
      <c r="X223" s="292">
        <f t="shared" ref="X223:X232" si="132">V223/(1-W223)</f>
        <v>0</v>
      </c>
      <c r="Y223" s="290">
        <v>0.0</v>
      </c>
      <c r="Z223" s="291">
        <v>0.09</v>
      </c>
      <c r="AA223" s="292">
        <f t="shared" ref="AA223:AA232" si="133">Y223/(1-Z223)</f>
        <v>0</v>
      </c>
    </row>
    <row r="224" ht="15.75" customHeight="1">
      <c r="A224" s="295"/>
      <c r="B224" s="281" t="s">
        <v>217</v>
      </c>
      <c r="C224" s="42"/>
      <c r="D224" s="43"/>
      <c r="E224" s="325">
        <v>1.0</v>
      </c>
      <c r="F224" s="312" t="s">
        <v>145</v>
      </c>
      <c r="G224" s="290">
        <v>1.0</v>
      </c>
      <c r="H224" s="290"/>
      <c r="I224" s="290"/>
      <c r="J224" s="290"/>
      <c r="K224" s="290">
        <f t="shared" si="129"/>
        <v>0</v>
      </c>
      <c r="L224" s="291">
        <v>0.09</v>
      </c>
      <c r="M224" s="292">
        <f t="shared" si="130"/>
        <v>0</v>
      </c>
      <c r="N224" s="187"/>
      <c r="O224" s="60"/>
      <c r="P224" s="325">
        <v>1.0</v>
      </c>
      <c r="Q224" s="312" t="s">
        <v>145</v>
      </c>
      <c r="R224" s="290">
        <v>1.0</v>
      </c>
      <c r="S224" s="290"/>
      <c r="T224" s="290"/>
      <c r="U224" s="290"/>
      <c r="V224" s="290">
        <f t="shared" si="131"/>
        <v>0</v>
      </c>
      <c r="W224" s="291">
        <v>0.09</v>
      </c>
      <c r="X224" s="292">
        <f t="shared" si="132"/>
        <v>0</v>
      </c>
      <c r="Y224" s="290">
        <v>0.0</v>
      </c>
      <c r="Z224" s="291">
        <v>0.09</v>
      </c>
      <c r="AA224" s="292">
        <f t="shared" si="133"/>
        <v>0</v>
      </c>
    </row>
    <row r="225" ht="15.75" customHeight="1">
      <c r="A225" s="295"/>
      <c r="B225" s="281" t="s">
        <v>218</v>
      </c>
      <c r="C225" s="42"/>
      <c r="D225" s="43"/>
      <c r="E225" s="325">
        <v>1.0</v>
      </c>
      <c r="F225" s="325" t="s">
        <v>145</v>
      </c>
      <c r="G225" s="290">
        <v>1.0</v>
      </c>
      <c r="H225" s="290"/>
      <c r="I225" s="290"/>
      <c r="J225" s="290"/>
      <c r="K225" s="290">
        <f t="shared" si="129"/>
        <v>0</v>
      </c>
      <c r="L225" s="291">
        <v>0.09</v>
      </c>
      <c r="M225" s="292">
        <f t="shared" si="130"/>
        <v>0</v>
      </c>
      <c r="N225" s="187"/>
      <c r="O225" s="60"/>
      <c r="P225" s="325">
        <v>1.0</v>
      </c>
      <c r="Q225" s="325" t="s">
        <v>145</v>
      </c>
      <c r="R225" s="290">
        <v>1.0</v>
      </c>
      <c r="S225" s="290"/>
      <c r="T225" s="290"/>
      <c r="U225" s="290"/>
      <c r="V225" s="290">
        <f t="shared" si="131"/>
        <v>0</v>
      </c>
      <c r="W225" s="291">
        <v>0.09</v>
      </c>
      <c r="X225" s="292">
        <f t="shared" si="132"/>
        <v>0</v>
      </c>
      <c r="Y225" s="290">
        <v>0.0</v>
      </c>
      <c r="Z225" s="291">
        <v>0.09</v>
      </c>
      <c r="AA225" s="292">
        <f t="shared" si="133"/>
        <v>0</v>
      </c>
    </row>
    <row r="226" ht="15.75" customHeight="1">
      <c r="A226" s="295"/>
      <c r="B226" s="281" t="s">
        <v>219</v>
      </c>
      <c r="C226" s="42"/>
      <c r="D226" s="43"/>
      <c r="E226" s="325">
        <v>1.0</v>
      </c>
      <c r="F226" s="325" t="s">
        <v>145</v>
      </c>
      <c r="G226" s="290">
        <v>1.0</v>
      </c>
      <c r="H226" s="290"/>
      <c r="I226" s="290"/>
      <c r="J226" s="290"/>
      <c r="K226" s="290">
        <f t="shared" si="129"/>
        <v>0</v>
      </c>
      <c r="L226" s="291">
        <v>0.09</v>
      </c>
      <c r="M226" s="292">
        <f t="shared" si="130"/>
        <v>0</v>
      </c>
      <c r="N226" s="187"/>
      <c r="O226" s="60"/>
      <c r="P226" s="325">
        <v>1.0</v>
      </c>
      <c r="Q226" s="325" t="s">
        <v>145</v>
      </c>
      <c r="R226" s="290">
        <v>1.0</v>
      </c>
      <c r="S226" s="290"/>
      <c r="T226" s="290"/>
      <c r="U226" s="290"/>
      <c r="V226" s="290">
        <f t="shared" si="131"/>
        <v>0</v>
      </c>
      <c r="W226" s="291">
        <v>0.09</v>
      </c>
      <c r="X226" s="292">
        <f t="shared" si="132"/>
        <v>0</v>
      </c>
      <c r="Y226" s="290">
        <v>0.0</v>
      </c>
      <c r="Z226" s="291">
        <v>0.09</v>
      </c>
      <c r="AA226" s="292">
        <f t="shared" si="133"/>
        <v>0</v>
      </c>
    </row>
    <row r="227" ht="15.75" customHeight="1">
      <c r="A227" s="295"/>
      <c r="B227" s="281" t="s">
        <v>220</v>
      </c>
      <c r="C227" s="42"/>
      <c r="D227" s="43"/>
      <c r="E227" s="325">
        <v>1.0</v>
      </c>
      <c r="F227" s="312" t="s">
        <v>145</v>
      </c>
      <c r="G227" s="290">
        <v>1.0</v>
      </c>
      <c r="H227" s="290"/>
      <c r="I227" s="290"/>
      <c r="J227" s="290"/>
      <c r="K227" s="290">
        <f t="shared" si="129"/>
        <v>0</v>
      </c>
      <c r="L227" s="291">
        <v>0.09</v>
      </c>
      <c r="M227" s="292">
        <f t="shared" si="130"/>
        <v>0</v>
      </c>
      <c r="N227" s="187"/>
      <c r="O227" s="60"/>
      <c r="P227" s="325">
        <v>1.0</v>
      </c>
      <c r="Q227" s="312" t="s">
        <v>145</v>
      </c>
      <c r="R227" s="290">
        <v>1.0</v>
      </c>
      <c r="S227" s="290"/>
      <c r="T227" s="290"/>
      <c r="U227" s="290"/>
      <c r="V227" s="290">
        <f t="shared" si="131"/>
        <v>0</v>
      </c>
      <c r="W227" s="291">
        <v>0.09</v>
      </c>
      <c r="X227" s="292">
        <f t="shared" si="132"/>
        <v>0</v>
      </c>
      <c r="Y227" s="290">
        <v>0.0</v>
      </c>
      <c r="Z227" s="291">
        <v>0.09</v>
      </c>
      <c r="AA227" s="292">
        <f t="shared" si="133"/>
        <v>0</v>
      </c>
    </row>
    <row r="228" ht="15.75" customHeight="1">
      <c r="A228" s="295"/>
      <c r="B228" s="281" t="s">
        <v>221</v>
      </c>
      <c r="C228" s="42"/>
      <c r="D228" s="43"/>
      <c r="E228" s="325">
        <v>1.0</v>
      </c>
      <c r="F228" s="312" t="s">
        <v>145</v>
      </c>
      <c r="G228" s="290">
        <v>1.0</v>
      </c>
      <c r="H228" s="290"/>
      <c r="I228" s="290"/>
      <c r="J228" s="290"/>
      <c r="K228" s="290">
        <f t="shared" si="129"/>
        <v>0</v>
      </c>
      <c r="L228" s="291">
        <v>0.09</v>
      </c>
      <c r="M228" s="292">
        <f t="shared" si="130"/>
        <v>0</v>
      </c>
      <c r="N228" s="187"/>
      <c r="O228" s="60"/>
      <c r="P228" s="325">
        <v>1.0</v>
      </c>
      <c r="Q228" s="312" t="s">
        <v>145</v>
      </c>
      <c r="R228" s="290">
        <v>1.0</v>
      </c>
      <c r="S228" s="290"/>
      <c r="T228" s="290"/>
      <c r="U228" s="290"/>
      <c r="V228" s="290">
        <f t="shared" si="131"/>
        <v>0</v>
      </c>
      <c r="W228" s="291">
        <v>0.09</v>
      </c>
      <c r="X228" s="292">
        <f t="shared" si="132"/>
        <v>0</v>
      </c>
      <c r="Y228" s="290">
        <v>0.0</v>
      </c>
      <c r="Z228" s="291">
        <v>0.09</v>
      </c>
      <c r="AA228" s="292">
        <f t="shared" si="133"/>
        <v>0</v>
      </c>
    </row>
    <row r="229" ht="15.75" customHeight="1">
      <c r="A229" s="295"/>
      <c r="B229" s="281" t="s">
        <v>222</v>
      </c>
      <c r="C229" s="42"/>
      <c r="D229" s="43"/>
      <c r="E229" s="325">
        <v>1.0</v>
      </c>
      <c r="F229" s="312" t="s">
        <v>145</v>
      </c>
      <c r="G229" s="290">
        <v>1.0</v>
      </c>
      <c r="H229" s="290"/>
      <c r="I229" s="290"/>
      <c r="J229" s="290"/>
      <c r="K229" s="290">
        <f t="shared" si="129"/>
        <v>0</v>
      </c>
      <c r="L229" s="291">
        <v>0.09</v>
      </c>
      <c r="M229" s="292">
        <f t="shared" si="130"/>
        <v>0</v>
      </c>
      <c r="N229" s="187"/>
      <c r="O229" s="60"/>
      <c r="P229" s="325">
        <v>1.0</v>
      </c>
      <c r="Q229" s="312" t="s">
        <v>145</v>
      </c>
      <c r="R229" s="290">
        <v>1.0</v>
      </c>
      <c r="S229" s="290"/>
      <c r="T229" s="290"/>
      <c r="U229" s="290"/>
      <c r="V229" s="290">
        <f t="shared" si="131"/>
        <v>0</v>
      </c>
      <c r="W229" s="291">
        <v>0.09</v>
      </c>
      <c r="X229" s="292">
        <f t="shared" si="132"/>
        <v>0</v>
      </c>
      <c r="Y229" s="290">
        <v>0.0</v>
      </c>
      <c r="Z229" s="291">
        <v>0.09</v>
      </c>
      <c r="AA229" s="292">
        <f t="shared" si="133"/>
        <v>0</v>
      </c>
    </row>
    <row r="230" ht="15.75" customHeight="1">
      <c r="A230" s="293"/>
      <c r="B230" s="281" t="s">
        <v>223</v>
      </c>
      <c r="C230" s="42"/>
      <c r="D230" s="43"/>
      <c r="E230" s="325">
        <v>1.0</v>
      </c>
      <c r="F230" s="312" t="s">
        <v>173</v>
      </c>
      <c r="G230" s="290">
        <v>1.0</v>
      </c>
      <c r="H230" s="290"/>
      <c r="I230" s="290"/>
      <c r="J230" s="290"/>
      <c r="K230" s="290">
        <f t="shared" si="129"/>
        <v>0</v>
      </c>
      <c r="L230" s="291">
        <v>0.09</v>
      </c>
      <c r="M230" s="292">
        <f t="shared" si="130"/>
        <v>0</v>
      </c>
      <c r="N230" s="187"/>
      <c r="O230" s="60"/>
      <c r="P230" s="325">
        <v>1.0</v>
      </c>
      <c r="Q230" s="312" t="s">
        <v>173</v>
      </c>
      <c r="R230" s="290">
        <v>1.0</v>
      </c>
      <c r="S230" s="290"/>
      <c r="T230" s="290"/>
      <c r="U230" s="290"/>
      <c r="V230" s="290">
        <f t="shared" si="131"/>
        <v>0</v>
      </c>
      <c r="W230" s="291">
        <v>0.09</v>
      </c>
      <c r="X230" s="292">
        <f t="shared" si="132"/>
        <v>0</v>
      </c>
      <c r="Y230" s="290">
        <v>0.0</v>
      </c>
      <c r="Z230" s="291">
        <v>0.09</v>
      </c>
      <c r="AA230" s="292">
        <f t="shared" si="133"/>
        <v>0</v>
      </c>
    </row>
    <row r="231" ht="15.75" customHeight="1">
      <c r="A231" s="293"/>
      <c r="B231" s="322" t="s">
        <v>224</v>
      </c>
      <c r="C231" s="70"/>
      <c r="D231" s="71"/>
      <c r="E231" s="332">
        <v>1.0</v>
      </c>
      <c r="F231" s="312" t="s">
        <v>173</v>
      </c>
      <c r="G231" s="333">
        <v>1.0</v>
      </c>
      <c r="H231" s="333"/>
      <c r="I231" s="333"/>
      <c r="J231" s="333"/>
      <c r="K231" s="290">
        <f t="shared" si="129"/>
        <v>0</v>
      </c>
      <c r="L231" s="291">
        <v>0.09</v>
      </c>
      <c r="M231" s="292">
        <f t="shared" si="130"/>
        <v>0</v>
      </c>
      <c r="N231" s="187"/>
      <c r="O231" s="60"/>
      <c r="P231" s="332">
        <v>1.0</v>
      </c>
      <c r="Q231" s="312" t="s">
        <v>173</v>
      </c>
      <c r="R231" s="333">
        <v>1.0</v>
      </c>
      <c r="S231" s="333"/>
      <c r="T231" s="333"/>
      <c r="U231" s="333"/>
      <c r="V231" s="290">
        <f t="shared" si="131"/>
        <v>0</v>
      </c>
      <c r="W231" s="291">
        <v>0.09</v>
      </c>
      <c r="X231" s="292">
        <f t="shared" si="132"/>
        <v>0</v>
      </c>
      <c r="Y231" s="290">
        <v>0.0</v>
      </c>
      <c r="Z231" s="291">
        <v>0.09</v>
      </c>
      <c r="AA231" s="292">
        <f t="shared" si="133"/>
        <v>0</v>
      </c>
    </row>
    <row r="232" ht="15.75" customHeight="1">
      <c r="A232" s="343"/>
      <c r="B232" s="281" t="s">
        <v>225</v>
      </c>
      <c r="C232" s="42"/>
      <c r="D232" s="43"/>
      <c r="E232" s="325">
        <v>1.0</v>
      </c>
      <c r="F232" s="312" t="s">
        <v>173</v>
      </c>
      <c r="G232" s="325">
        <v>1.0</v>
      </c>
      <c r="H232" s="325"/>
      <c r="I232" s="325"/>
      <c r="J232" s="325"/>
      <c r="K232" s="290">
        <f t="shared" si="129"/>
        <v>0</v>
      </c>
      <c r="L232" s="291">
        <v>0.09</v>
      </c>
      <c r="M232" s="292">
        <f t="shared" si="130"/>
        <v>0</v>
      </c>
      <c r="N232" s="187"/>
      <c r="O232" s="60"/>
      <c r="P232" s="325">
        <v>1.0</v>
      </c>
      <c r="Q232" s="312" t="s">
        <v>173</v>
      </c>
      <c r="R232" s="325">
        <v>1.0</v>
      </c>
      <c r="S232" s="325"/>
      <c r="T232" s="325"/>
      <c r="U232" s="325"/>
      <c r="V232" s="290">
        <f t="shared" si="131"/>
        <v>0</v>
      </c>
      <c r="W232" s="291">
        <v>0.09</v>
      </c>
      <c r="X232" s="292">
        <f t="shared" si="132"/>
        <v>0</v>
      </c>
      <c r="Y232" s="290">
        <v>0.0</v>
      </c>
      <c r="Z232" s="291">
        <v>0.09</v>
      </c>
      <c r="AA232" s="292">
        <f t="shared" si="133"/>
        <v>0</v>
      </c>
    </row>
    <row r="233" ht="15.75" customHeight="1">
      <c r="A233" s="295"/>
      <c r="B233" s="295"/>
      <c r="C233" s="295"/>
      <c r="D233" s="295"/>
      <c r="E233" s="298"/>
      <c r="F233" s="306"/>
      <c r="G233" s="300"/>
      <c r="H233" s="300"/>
      <c r="I233" s="307"/>
      <c r="J233" s="307"/>
      <c r="K233" s="307"/>
      <c r="L233" s="308" t="s">
        <v>226</v>
      </c>
      <c r="M233" s="304">
        <f>SUM(M213:M232)</f>
        <v>0</v>
      </c>
      <c r="N233" s="305"/>
      <c r="O233" s="60"/>
      <c r="P233" s="306"/>
      <c r="Q233" s="306"/>
      <c r="R233" s="300"/>
      <c r="S233" s="300"/>
      <c r="T233" s="307"/>
      <c r="U233" s="307"/>
      <c r="V233" s="307"/>
      <c r="W233" s="308" t="s">
        <v>226</v>
      </c>
      <c r="X233" s="304">
        <f>SUM(X213:X232)</f>
        <v>0</v>
      </c>
      <c r="Y233" s="307"/>
      <c r="Z233" s="308" t="s">
        <v>226</v>
      </c>
      <c r="AA233" s="304">
        <f>SUM(AA216:AA232)</f>
        <v>0</v>
      </c>
    </row>
    <row r="234" ht="9.75" customHeight="1">
      <c r="A234" s="134"/>
      <c r="B234" s="134"/>
      <c r="C234" s="134"/>
      <c r="D234" s="134"/>
      <c r="E234" s="132"/>
      <c r="F234" s="133"/>
      <c r="G234" s="134"/>
      <c r="H234" s="134"/>
      <c r="I234" s="134"/>
      <c r="J234" s="134"/>
      <c r="K234" s="134"/>
      <c r="L234" s="134"/>
      <c r="M234" s="135"/>
      <c r="N234" s="136"/>
      <c r="O234" s="60"/>
      <c r="P234" s="133"/>
      <c r="Q234" s="133"/>
      <c r="R234" s="134"/>
      <c r="S234" s="134"/>
      <c r="T234" s="134"/>
      <c r="U234" s="134"/>
      <c r="V234" s="134"/>
      <c r="W234" s="134"/>
      <c r="X234" s="135"/>
      <c r="Y234" s="321"/>
      <c r="Z234" s="134"/>
      <c r="AA234" s="321"/>
    </row>
    <row r="235" ht="15.75" customHeight="1">
      <c r="A235" s="140" t="s">
        <v>227</v>
      </c>
      <c r="B235" s="62"/>
      <c r="C235" s="62"/>
      <c r="D235" s="63"/>
      <c r="E235" s="103"/>
      <c r="F235" s="67"/>
      <c r="G235" s="64"/>
      <c r="H235" s="64"/>
      <c r="I235" s="64"/>
      <c r="J235" s="64"/>
      <c r="K235" s="64"/>
      <c r="L235" s="64"/>
      <c r="M235" s="65"/>
      <c r="N235" s="144"/>
      <c r="O235" s="60"/>
      <c r="P235" s="67"/>
      <c r="Q235" s="67"/>
      <c r="R235" s="64"/>
      <c r="S235" s="64"/>
      <c r="T235" s="64"/>
      <c r="U235" s="64"/>
      <c r="V235" s="64"/>
      <c r="W235" s="64"/>
      <c r="X235" s="65"/>
      <c r="Y235" s="64"/>
      <c r="Z235" s="64"/>
      <c r="AA235" s="65"/>
    </row>
    <row r="236" ht="15.75" customHeight="1">
      <c r="A236" s="340"/>
      <c r="B236" s="335" t="s">
        <v>228</v>
      </c>
      <c r="C236" s="189"/>
      <c r="D236" s="190"/>
      <c r="E236" s="336">
        <v>1.0</v>
      </c>
      <c r="F236" s="312" t="s">
        <v>173</v>
      </c>
      <c r="G236" s="337">
        <v>1.0</v>
      </c>
      <c r="H236" s="337"/>
      <c r="I236" s="337"/>
      <c r="J236" s="337"/>
      <c r="K236" s="290">
        <f t="shared" ref="K236:K237" si="134">(E236*G236*H236)+(I236*J236*E236*G236)</f>
        <v>0</v>
      </c>
      <c r="L236" s="291">
        <v>0.09</v>
      </c>
      <c r="M236" s="292">
        <f t="shared" ref="M236:M237" si="135">K236/(1-L236)</f>
        <v>0</v>
      </c>
      <c r="N236" s="187"/>
      <c r="O236" s="60"/>
      <c r="P236" s="336">
        <v>1.0</v>
      </c>
      <c r="Q236" s="312" t="s">
        <v>173</v>
      </c>
      <c r="R236" s="337">
        <v>1.0</v>
      </c>
      <c r="S236" s="337"/>
      <c r="T236" s="337"/>
      <c r="U236" s="337"/>
      <c r="V236" s="290">
        <f t="shared" ref="V236:V237" si="136">(P236*R236*S236)+(T236*U236*P236*R236)</f>
        <v>0</v>
      </c>
      <c r="W236" s="291">
        <v>0.09</v>
      </c>
      <c r="X236" s="292">
        <f t="shared" ref="X236:X237" si="137">V236/(1-W236)</f>
        <v>0</v>
      </c>
      <c r="Y236" s="290">
        <v>0.0</v>
      </c>
      <c r="Z236" s="291">
        <v>0.09</v>
      </c>
      <c r="AA236" s="292">
        <f t="shared" ref="AA236:AA237" si="138">Y236/(1-Z236)</f>
        <v>0</v>
      </c>
    </row>
    <row r="237" ht="15.75" customHeight="1">
      <c r="A237" s="311"/>
      <c r="B237" s="335" t="s">
        <v>229</v>
      </c>
      <c r="C237" s="189"/>
      <c r="D237" s="190"/>
      <c r="E237" s="336">
        <v>1.0</v>
      </c>
      <c r="F237" s="312" t="s">
        <v>173</v>
      </c>
      <c r="G237" s="337">
        <v>1.0</v>
      </c>
      <c r="H237" s="337"/>
      <c r="I237" s="337"/>
      <c r="J237" s="337"/>
      <c r="K237" s="290">
        <f t="shared" si="134"/>
        <v>0</v>
      </c>
      <c r="L237" s="291">
        <v>0.09</v>
      </c>
      <c r="M237" s="292">
        <f t="shared" si="135"/>
        <v>0</v>
      </c>
      <c r="N237" s="187"/>
      <c r="O237" s="60"/>
      <c r="P237" s="336">
        <v>1.0</v>
      </c>
      <c r="Q237" s="312" t="s">
        <v>173</v>
      </c>
      <c r="R237" s="337">
        <v>1.0</v>
      </c>
      <c r="S237" s="337"/>
      <c r="T237" s="337"/>
      <c r="U237" s="337"/>
      <c r="V237" s="290">
        <f t="shared" si="136"/>
        <v>0</v>
      </c>
      <c r="W237" s="291">
        <v>0.09</v>
      </c>
      <c r="X237" s="292">
        <f t="shared" si="137"/>
        <v>0</v>
      </c>
      <c r="Y237" s="290">
        <v>0.0</v>
      </c>
      <c r="Z237" s="291">
        <v>0.09</v>
      </c>
      <c r="AA237" s="292">
        <f t="shared" si="138"/>
        <v>0</v>
      </c>
    </row>
    <row r="238" ht="15.75" customHeight="1">
      <c r="A238" s="314"/>
      <c r="B238" s="163" t="s">
        <v>230</v>
      </c>
      <c r="C238" s="157"/>
      <c r="D238" s="158"/>
      <c r="E238" s="159"/>
      <c r="F238" s="160"/>
      <c r="G238" s="161"/>
      <c r="H238" s="161"/>
      <c r="I238" s="161"/>
      <c r="J238" s="161"/>
      <c r="K238" s="161"/>
      <c r="L238" s="161"/>
      <c r="M238" s="162"/>
      <c r="N238" s="164"/>
      <c r="O238" s="60"/>
      <c r="P238" s="160"/>
      <c r="Q238" s="160"/>
      <c r="R238" s="161"/>
      <c r="S238" s="161"/>
      <c r="T238" s="161"/>
      <c r="U238" s="161"/>
      <c r="V238" s="161"/>
      <c r="W238" s="161"/>
      <c r="X238" s="162"/>
      <c r="Y238" s="161"/>
      <c r="Z238" s="161"/>
      <c r="AA238" s="162"/>
    </row>
    <row r="239" ht="15.75" customHeight="1">
      <c r="A239" s="295"/>
      <c r="B239" s="324" t="s">
        <v>231</v>
      </c>
      <c r="C239" s="152"/>
      <c r="D239" s="153"/>
      <c r="E239" s="312">
        <v>1.0</v>
      </c>
      <c r="F239" s="312" t="s">
        <v>49</v>
      </c>
      <c r="G239" s="313">
        <v>1.0</v>
      </c>
      <c r="H239" s="313"/>
      <c r="I239" s="313"/>
      <c r="J239" s="313"/>
      <c r="K239" s="290">
        <f t="shared" ref="K239:K241" si="139">(E239*G239*H239)+(I239*J239*E239*G239)</f>
        <v>0</v>
      </c>
      <c r="L239" s="291">
        <v>0.09</v>
      </c>
      <c r="M239" s="292">
        <f t="shared" ref="M239:M241" si="140">K239/(1-L239)</f>
        <v>0</v>
      </c>
      <c r="N239" s="187"/>
      <c r="O239" s="60"/>
      <c r="P239" s="312">
        <v>1.0</v>
      </c>
      <c r="Q239" s="312" t="s">
        <v>49</v>
      </c>
      <c r="R239" s="313">
        <v>1.0</v>
      </c>
      <c r="S239" s="313"/>
      <c r="T239" s="313"/>
      <c r="U239" s="313"/>
      <c r="V239" s="290">
        <f t="shared" ref="V239:V241" si="141">(P239*R239*S239)+(T239*U239*P239*R239)</f>
        <v>0</v>
      </c>
      <c r="W239" s="291">
        <v>0.09</v>
      </c>
      <c r="X239" s="292">
        <f t="shared" ref="X239:X241" si="142">V239/(1-W239)</f>
        <v>0</v>
      </c>
      <c r="Y239" s="290">
        <v>0.0</v>
      </c>
      <c r="Z239" s="291">
        <v>0.09</v>
      </c>
      <c r="AA239" s="292">
        <f t="shared" ref="AA239:AA241" si="143">Y239/(1-Z239)</f>
        <v>0</v>
      </c>
    </row>
    <row r="240" ht="15.75" customHeight="1">
      <c r="A240" s="295"/>
      <c r="B240" s="281" t="s">
        <v>232</v>
      </c>
      <c r="C240" s="42"/>
      <c r="D240" s="43"/>
      <c r="E240" s="325">
        <v>1.0</v>
      </c>
      <c r="F240" s="325" t="s">
        <v>49</v>
      </c>
      <c r="G240" s="290">
        <v>1.0</v>
      </c>
      <c r="H240" s="290"/>
      <c r="I240" s="290"/>
      <c r="J240" s="290"/>
      <c r="K240" s="290">
        <f t="shared" si="139"/>
        <v>0</v>
      </c>
      <c r="L240" s="291">
        <v>0.09</v>
      </c>
      <c r="M240" s="292">
        <f t="shared" si="140"/>
        <v>0</v>
      </c>
      <c r="N240" s="187"/>
      <c r="O240" s="60"/>
      <c r="P240" s="325">
        <v>1.0</v>
      </c>
      <c r="Q240" s="325" t="s">
        <v>49</v>
      </c>
      <c r="R240" s="290">
        <v>1.0</v>
      </c>
      <c r="S240" s="290"/>
      <c r="T240" s="290"/>
      <c r="U240" s="290"/>
      <c r="V240" s="290">
        <f t="shared" si="141"/>
        <v>0</v>
      </c>
      <c r="W240" s="291">
        <v>0.09</v>
      </c>
      <c r="X240" s="292">
        <f t="shared" si="142"/>
        <v>0</v>
      </c>
      <c r="Y240" s="290">
        <v>0.0</v>
      </c>
      <c r="Z240" s="291">
        <v>0.09</v>
      </c>
      <c r="AA240" s="292">
        <f t="shared" si="143"/>
        <v>0</v>
      </c>
    </row>
    <row r="241" ht="15.75" customHeight="1">
      <c r="A241" s="295"/>
      <c r="B241" s="322" t="s">
        <v>233</v>
      </c>
      <c r="C241" s="70"/>
      <c r="D241" s="71"/>
      <c r="E241" s="326">
        <v>1.0</v>
      </c>
      <c r="F241" s="326" t="s">
        <v>49</v>
      </c>
      <c r="G241" s="327">
        <v>1.0</v>
      </c>
      <c r="H241" s="327"/>
      <c r="I241" s="327"/>
      <c r="J241" s="327"/>
      <c r="K241" s="290">
        <f t="shared" si="139"/>
        <v>0</v>
      </c>
      <c r="L241" s="291">
        <v>0.09</v>
      </c>
      <c r="M241" s="292">
        <f t="shared" si="140"/>
        <v>0</v>
      </c>
      <c r="N241" s="187"/>
      <c r="O241" s="60"/>
      <c r="P241" s="326">
        <v>1.0</v>
      </c>
      <c r="Q241" s="326" t="s">
        <v>49</v>
      </c>
      <c r="R241" s="327">
        <v>1.0</v>
      </c>
      <c r="S241" s="327"/>
      <c r="T241" s="327"/>
      <c r="U241" s="327"/>
      <c r="V241" s="290">
        <f t="shared" si="141"/>
        <v>0</v>
      </c>
      <c r="W241" s="291">
        <v>0.09</v>
      </c>
      <c r="X241" s="292">
        <f t="shared" si="142"/>
        <v>0</v>
      </c>
      <c r="Y241" s="290">
        <v>0.0</v>
      </c>
      <c r="Z241" s="291">
        <v>0.09</v>
      </c>
      <c r="AA241" s="292">
        <f t="shared" si="143"/>
        <v>0</v>
      </c>
    </row>
    <row r="242" ht="15.75" customHeight="1">
      <c r="A242" s="314"/>
      <c r="B242" s="163" t="s">
        <v>234</v>
      </c>
      <c r="C242" s="157"/>
      <c r="D242" s="158"/>
      <c r="E242" s="159"/>
      <c r="F242" s="160"/>
      <c r="G242" s="161"/>
      <c r="H242" s="161"/>
      <c r="I242" s="161"/>
      <c r="J242" s="161"/>
      <c r="K242" s="161"/>
      <c r="L242" s="161"/>
      <c r="M242" s="162"/>
      <c r="N242" s="164"/>
      <c r="O242" s="60"/>
      <c r="P242" s="160"/>
      <c r="Q242" s="160"/>
      <c r="R242" s="161"/>
      <c r="S242" s="161"/>
      <c r="T242" s="161"/>
      <c r="U242" s="161"/>
      <c r="V242" s="161"/>
      <c r="W242" s="161"/>
      <c r="X242" s="162"/>
      <c r="Y242" s="161"/>
      <c r="Z242" s="161"/>
      <c r="AA242" s="162"/>
    </row>
    <row r="243" ht="15.75" customHeight="1">
      <c r="A243" s="293"/>
      <c r="B243" s="281" t="s">
        <v>235</v>
      </c>
      <c r="C243" s="42"/>
      <c r="D243" s="43"/>
      <c r="E243" s="312">
        <v>1.0</v>
      </c>
      <c r="F243" s="312" t="s">
        <v>145</v>
      </c>
      <c r="G243" s="313">
        <v>1.0</v>
      </c>
      <c r="H243" s="313"/>
      <c r="I243" s="313"/>
      <c r="J243" s="313"/>
      <c r="K243" s="290">
        <f t="shared" ref="K243:K254" si="144">(E243*G243*H243)+(I243*J243*E243*G243)</f>
        <v>0</v>
      </c>
      <c r="L243" s="291">
        <v>0.09</v>
      </c>
      <c r="M243" s="292">
        <f t="shared" ref="M243:M254" si="145">K243/(1-L243)</f>
        <v>0</v>
      </c>
      <c r="N243" s="187"/>
      <c r="O243" s="60"/>
      <c r="P243" s="312">
        <v>1.0</v>
      </c>
      <c r="Q243" s="312" t="s">
        <v>145</v>
      </c>
      <c r="R243" s="313">
        <v>1.0</v>
      </c>
      <c r="S243" s="313"/>
      <c r="T243" s="313"/>
      <c r="U243" s="313"/>
      <c r="V243" s="290">
        <f t="shared" ref="V243:V254" si="146">(P243*R243*S243)+(T243*U243*P243*R243)</f>
        <v>0</v>
      </c>
      <c r="W243" s="291">
        <v>0.09</v>
      </c>
      <c r="X243" s="292">
        <f t="shared" ref="X243:X254" si="147">V243/(1-W243)</f>
        <v>0</v>
      </c>
      <c r="Y243" s="290">
        <v>0.0</v>
      </c>
      <c r="Z243" s="291">
        <v>0.09</v>
      </c>
      <c r="AA243" s="292">
        <f t="shared" ref="AA243:AA254" si="148">Y243/(1-Z243)</f>
        <v>0</v>
      </c>
    </row>
    <row r="244" ht="15.75" customHeight="1">
      <c r="A244" s="295"/>
      <c r="B244" s="281" t="s">
        <v>236</v>
      </c>
      <c r="C244" s="42"/>
      <c r="D244" s="43"/>
      <c r="E244" s="312">
        <v>1.0</v>
      </c>
      <c r="F244" s="312" t="s">
        <v>45</v>
      </c>
      <c r="G244" s="313">
        <v>1.0</v>
      </c>
      <c r="H244" s="313">
        <v>20000.0</v>
      </c>
      <c r="I244" s="313"/>
      <c r="J244" s="313">
        <v>3000.0</v>
      </c>
      <c r="K244" s="290">
        <f t="shared" si="144"/>
        <v>20000</v>
      </c>
      <c r="L244" s="291">
        <v>0.09</v>
      </c>
      <c r="M244" s="292">
        <f t="shared" si="145"/>
        <v>21978.02198</v>
      </c>
      <c r="N244" s="187"/>
      <c r="O244" s="60"/>
      <c r="P244" s="312">
        <v>1.0</v>
      </c>
      <c r="Q244" s="312" t="s">
        <v>45</v>
      </c>
      <c r="R244" s="313">
        <v>1.0</v>
      </c>
      <c r="S244" s="313">
        <v>20000.0</v>
      </c>
      <c r="T244" s="313"/>
      <c r="U244" s="313">
        <v>3000.0</v>
      </c>
      <c r="V244" s="290">
        <f t="shared" si="146"/>
        <v>20000</v>
      </c>
      <c r="W244" s="291">
        <v>0.09</v>
      </c>
      <c r="X244" s="292">
        <f t="shared" si="147"/>
        <v>21978.02198</v>
      </c>
      <c r="Y244" s="290">
        <v>0.0</v>
      </c>
      <c r="Z244" s="291">
        <v>0.09</v>
      </c>
      <c r="AA244" s="292">
        <f t="shared" si="148"/>
        <v>0</v>
      </c>
    </row>
    <row r="245" ht="15.75" customHeight="1">
      <c r="A245" s="293"/>
      <c r="B245" s="281" t="s">
        <v>237</v>
      </c>
      <c r="C245" s="42"/>
      <c r="D245" s="43"/>
      <c r="E245" s="325">
        <v>1.0</v>
      </c>
      <c r="F245" s="325" t="s">
        <v>29</v>
      </c>
      <c r="G245" s="290">
        <v>1.0</v>
      </c>
      <c r="H245" s="290"/>
      <c r="I245" s="290"/>
      <c r="J245" s="290"/>
      <c r="K245" s="290">
        <f t="shared" si="144"/>
        <v>0</v>
      </c>
      <c r="L245" s="291">
        <v>0.09</v>
      </c>
      <c r="M245" s="292">
        <f t="shared" si="145"/>
        <v>0</v>
      </c>
      <c r="N245" s="187"/>
      <c r="O245" s="60"/>
      <c r="P245" s="325">
        <v>1.0</v>
      </c>
      <c r="Q245" s="325" t="s">
        <v>29</v>
      </c>
      <c r="R245" s="290">
        <v>1.0</v>
      </c>
      <c r="S245" s="290"/>
      <c r="T245" s="290"/>
      <c r="U245" s="290"/>
      <c r="V245" s="290">
        <f t="shared" si="146"/>
        <v>0</v>
      </c>
      <c r="W245" s="291">
        <v>0.09</v>
      </c>
      <c r="X245" s="292">
        <f t="shared" si="147"/>
        <v>0</v>
      </c>
      <c r="Y245" s="290">
        <v>0.0</v>
      </c>
      <c r="Z245" s="291">
        <v>0.09</v>
      </c>
      <c r="AA245" s="292">
        <f t="shared" si="148"/>
        <v>0</v>
      </c>
    </row>
    <row r="246" ht="15.75" customHeight="1">
      <c r="A246" s="293"/>
      <c r="B246" s="281" t="s">
        <v>238</v>
      </c>
      <c r="C246" s="42"/>
      <c r="D246" s="43"/>
      <c r="E246" s="325">
        <v>1.0</v>
      </c>
      <c r="F246" s="325" t="s">
        <v>29</v>
      </c>
      <c r="G246" s="290">
        <v>1.0</v>
      </c>
      <c r="H246" s="290"/>
      <c r="I246" s="327"/>
      <c r="J246" s="327"/>
      <c r="K246" s="290">
        <f t="shared" si="144"/>
        <v>0</v>
      </c>
      <c r="L246" s="291">
        <v>0.09</v>
      </c>
      <c r="M246" s="292">
        <f t="shared" si="145"/>
        <v>0</v>
      </c>
      <c r="N246" s="187"/>
      <c r="O246" s="60"/>
      <c r="P246" s="325">
        <v>1.0</v>
      </c>
      <c r="Q246" s="325" t="s">
        <v>29</v>
      </c>
      <c r="R246" s="290">
        <v>1.0</v>
      </c>
      <c r="S246" s="290"/>
      <c r="T246" s="327"/>
      <c r="U246" s="327"/>
      <c r="V246" s="290">
        <f t="shared" si="146"/>
        <v>0</v>
      </c>
      <c r="W246" s="291">
        <v>0.09</v>
      </c>
      <c r="X246" s="292">
        <f t="shared" si="147"/>
        <v>0</v>
      </c>
      <c r="Y246" s="290">
        <v>0.0</v>
      </c>
      <c r="Z246" s="291">
        <v>0.09</v>
      </c>
      <c r="AA246" s="292">
        <f t="shared" si="148"/>
        <v>0</v>
      </c>
    </row>
    <row r="247" ht="15.75" customHeight="1">
      <c r="A247" s="293"/>
      <c r="B247" s="281" t="s">
        <v>239</v>
      </c>
      <c r="C247" s="42"/>
      <c r="D247" s="43"/>
      <c r="E247" s="312">
        <v>1.0</v>
      </c>
      <c r="F247" s="325" t="s">
        <v>29</v>
      </c>
      <c r="G247" s="313">
        <v>1.0</v>
      </c>
      <c r="H247" s="313"/>
      <c r="I247" s="313"/>
      <c r="J247" s="313"/>
      <c r="K247" s="290">
        <f t="shared" si="144"/>
        <v>0</v>
      </c>
      <c r="L247" s="291">
        <v>0.09</v>
      </c>
      <c r="M247" s="292">
        <f t="shared" si="145"/>
        <v>0</v>
      </c>
      <c r="N247" s="187"/>
      <c r="O247" s="60"/>
      <c r="P247" s="312">
        <v>1.0</v>
      </c>
      <c r="Q247" s="325" t="s">
        <v>29</v>
      </c>
      <c r="R247" s="313">
        <v>1.0</v>
      </c>
      <c r="S247" s="313"/>
      <c r="T247" s="313"/>
      <c r="U247" s="313"/>
      <c r="V247" s="290">
        <f t="shared" si="146"/>
        <v>0</v>
      </c>
      <c r="W247" s="291">
        <v>0.09</v>
      </c>
      <c r="X247" s="292">
        <f t="shared" si="147"/>
        <v>0</v>
      </c>
      <c r="Y247" s="290">
        <v>0.0</v>
      </c>
      <c r="Z247" s="291">
        <v>0.09</v>
      </c>
      <c r="AA247" s="292">
        <f t="shared" si="148"/>
        <v>0</v>
      </c>
    </row>
    <row r="248" ht="15.75" customHeight="1">
      <c r="A248" s="293"/>
      <c r="B248" s="329" t="s">
        <v>240</v>
      </c>
      <c r="C248" s="168"/>
      <c r="D248" s="36"/>
      <c r="E248" s="312">
        <v>1.0</v>
      </c>
      <c r="F248" s="325" t="s">
        <v>29</v>
      </c>
      <c r="G248" s="313">
        <v>1.0</v>
      </c>
      <c r="H248" s="313"/>
      <c r="I248" s="313"/>
      <c r="J248" s="313"/>
      <c r="K248" s="290">
        <f t="shared" si="144"/>
        <v>0</v>
      </c>
      <c r="L248" s="291">
        <v>0.09</v>
      </c>
      <c r="M248" s="292">
        <f t="shared" si="145"/>
        <v>0</v>
      </c>
      <c r="N248" s="187"/>
      <c r="O248" s="60"/>
      <c r="P248" s="312">
        <v>1.0</v>
      </c>
      <c r="Q248" s="325" t="s">
        <v>29</v>
      </c>
      <c r="R248" s="313">
        <v>1.0</v>
      </c>
      <c r="S248" s="313"/>
      <c r="T248" s="313"/>
      <c r="U248" s="313"/>
      <c r="V248" s="290">
        <f t="shared" si="146"/>
        <v>0</v>
      </c>
      <c r="W248" s="291">
        <v>0.09</v>
      </c>
      <c r="X248" s="292">
        <f t="shared" si="147"/>
        <v>0</v>
      </c>
      <c r="Y248" s="290">
        <v>0.0</v>
      </c>
      <c r="Z248" s="291">
        <v>0.09</v>
      </c>
      <c r="AA248" s="292">
        <f t="shared" si="148"/>
        <v>0</v>
      </c>
    </row>
    <row r="249" ht="15.75" customHeight="1">
      <c r="A249" s="293"/>
      <c r="B249" s="324" t="s">
        <v>241</v>
      </c>
      <c r="C249" s="152"/>
      <c r="D249" s="153"/>
      <c r="E249" s="312">
        <v>1.0</v>
      </c>
      <c r="F249" s="325" t="s">
        <v>29</v>
      </c>
      <c r="G249" s="313">
        <v>1.0</v>
      </c>
      <c r="H249" s="313"/>
      <c r="I249" s="313"/>
      <c r="J249" s="313"/>
      <c r="K249" s="290">
        <f t="shared" si="144"/>
        <v>0</v>
      </c>
      <c r="L249" s="291">
        <v>0.09</v>
      </c>
      <c r="M249" s="292">
        <f t="shared" si="145"/>
        <v>0</v>
      </c>
      <c r="N249" s="187"/>
      <c r="O249" s="60"/>
      <c r="P249" s="312">
        <v>1.0</v>
      </c>
      <c r="Q249" s="325" t="s">
        <v>29</v>
      </c>
      <c r="R249" s="313">
        <v>1.0</v>
      </c>
      <c r="S249" s="313"/>
      <c r="T249" s="313"/>
      <c r="U249" s="313"/>
      <c r="V249" s="290">
        <f t="shared" si="146"/>
        <v>0</v>
      </c>
      <c r="W249" s="291">
        <v>0.09</v>
      </c>
      <c r="X249" s="292">
        <f t="shared" si="147"/>
        <v>0</v>
      </c>
      <c r="Y249" s="290">
        <v>0.0</v>
      </c>
      <c r="Z249" s="291">
        <v>0.09</v>
      </c>
      <c r="AA249" s="292">
        <f t="shared" si="148"/>
        <v>0</v>
      </c>
    </row>
    <row r="250" ht="15.75" customHeight="1">
      <c r="A250" s="293"/>
      <c r="B250" s="324" t="s">
        <v>242</v>
      </c>
      <c r="C250" s="152"/>
      <c r="D250" s="153"/>
      <c r="E250" s="312">
        <v>1.0</v>
      </c>
      <c r="F250" s="325" t="s">
        <v>29</v>
      </c>
      <c r="G250" s="313">
        <v>1.0</v>
      </c>
      <c r="H250" s="313"/>
      <c r="I250" s="313"/>
      <c r="J250" s="313"/>
      <c r="K250" s="290">
        <f t="shared" si="144"/>
        <v>0</v>
      </c>
      <c r="L250" s="291">
        <v>0.09</v>
      </c>
      <c r="M250" s="292">
        <f t="shared" si="145"/>
        <v>0</v>
      </c>
      <c r="N250" s="187"/>
      <c r="O250" s="60"/>
      <c r="P250" s="312">
        <v>1.0</v>
      </c>
      <c r="Q250" s="325" t="s">
        <v>29</v>
      </c>
      <c r="R250" s="313">
        <v>1.0</v>
      </c>
      <c r="S250" s="313"/>
      <c r="T250" s="313"/>
      <c r="U250" s="313"/>
      <c r="V250" s="290">
        <f t="shared" si="146"/>
        <v>0</v>
      </c>
      <c r="W250" s="291">
        <v>0.09</v>
      </c>
      <c r="X250" s="292">
        <f t="shared" si="147"/>
        <v>0</v>
      </c>
      <c r="Y250" s="290">
        <v>0.0</v>
      </c>
      <c r="Z250" s="291">
        <v>0.09</v>
      </c>
      <c r="AA250" s="292">
        <f t="shared" si="148"/>
        <v>0</v>
      </c>
    </row>
    <row r="251" ht="15.75" customHeight="1">
      <c r="A251" s="293"/>
      <c r="B251" s="324" t="s">
        <v>243</v>
      </c>
      <c r="C251" s="152"/>
      <c r="D251" s="153"/>
      <c r="E251" s="312">
        <v>1.0</v>
      </c>
      <c r="F251" s="325" t="s">
        <v>29</v>
      </c>
      <c r="G251" s="313">
        <v>1.0</v>
      </c>
      <c r="H251" s="313"/>
      <c r="I251" s="313"/>
      <c r="J251" s="313"/>
      <c r="K251" s="290">
        <f t="shared" si="144"/>
        <v>0</v>
      </c>
      <c r="L251" s="291">
        <v>0.09</v>
      </c>
      <c r="M251" s="292">
        <f t="shared" si="145"/>
        <v>0</v>
      </c>
      <c r="N251" s="187"/>
      <c r="O251" s="60"/>
      <c r="P251" s="312">
        <v>1.0</v>
      </c>
      <c r="Q251" s="325" t="s">
        <v>29</v>
      </c>
      <c r="R251" s="313">
        <v>1.0</v>
      </c>
      <c r="S251" s="313"/>
      <c r="T251" s="313"/>
      <c r="U251" s="313"/>
      <c r="V251" s="290">
        <f t="shared" si="146"/>
        <v>0</v>
      </c>
      <c r="W251" s="291">
        <v>0.09</v>
      </c>
      <c r="X251" s="292">
        <f t="shared" si="147"/>
        <v>0</v>
      </c>
      <c r="Y251" s="290">
        <v>0.0</v>
      </c>
      <c r="Z251" s="291">
        <v>0.09</v>
      </c>
      <c r="AA251" s="292">
        <f t="shared" si="148"/>
        <v>0</v>
      </c>
    </row>
    <row r="252" ht="15.75" customHeight="1">
      <c r="A252" s="293"/>
      <c r="B252" s="324" t="s">
        <v>244</v>
      </c>
      <c r="C252" s="152"/>
      <c r="D252" s="153"/>
      <c r="E252" s="312">
        <v>1.0</v>
      </c>
      <c r="F252" s="325" t="s">
        <v>29</v>
      </c>
      <c r="G252" s="313">
        <v>1.0</v>
      </c>
      <c r="H252" s="313"/>
      <c r="I252" s="313"/>
      <c r="J252" s="313"/>
      <c r="K252" s="290">
        <f t="shared" si="144"/>
        <v>0</v>
      </c>
      <c r="L252" s="291">
        <v>0.09</v>
      </c>
      <c r="M252" s="292">
        <f t="shared" si="145"/>
        <v>0</v>
      </c>
      <c r="N252" s="187"/>
      <c r="O252" s="60"/>
      <c r="P252" s="312">
        <v>1.0</v>
      </c>
      <c r="Q252" s="325" t="s">
        <v>29</v>
      </c>
      <c r="R252" s="313">
        <v>1.0</v>
      </c>
      <c r="S252" s="313"/>
      <c r="T252" s="313"/>
      <c r="U252" s="313"/>
      <c r="V252" s="290">
        <f t="shared" si="146"/>
        <v>0</v>
      </c>
      <c r="W252" s="291">
        <v>0.09</v>
      </c>
      <c r="X252" s="292">
        <f t="shared" si="147"/>
        <v>0</v>
      </c>
      <c r="Y252" s="290">
        <v>0.0</v>
      </c>
      <c r="Z252" s="291">
        <v>0.09</v>
      </c>
      <c r="AA252" s="292">
        <f t="shared" si="148"/>
        <v>0</v>
      </c>
    </row>
    <row r="253" ht="15.75" customHeight="1">
      <c r="A253" s="293"/>
      <c r="B253" s="324" t="s">
        <v>245</v>
      </c>
      <c r="C253" s="152"/>
      <c r="D253" s="153"/>
      <c r="E253" s="312">
        <v>1.0</v>
      </c>
      <c r="F253" s="325" t="s">
        <v>29</v>
      </c>
      <c r="G253" s="313">
        <v>1.0</v>
      </c>
      <c r="H253" s="313"/>
      <c r="I253" s="313"/>
      <c r="J253" s="313"/>
      <c r="K253" s="290">
        <f t="shared" si="144"/>
        <v>0</v>
      </c>
      <c r="L253" s="291">
        <v>0.09</v>
      </c>
      <c r="M253" s="292">
        <f t="shared" si="145"/>
        <v>0</v>
      </c>
      <c r="N253" s="187"/>
      <c r="O253" s="60"/>
      <c r="P253" s="312">
        <v>1.0</v>
      </c>
      <c r="Q253" s="325" t="s">
        <v>29</v>
      </c>
      <c r="R253" s="313">
        <v>1.0</v>
      </c>
      <c r="S253" s="313"/>
      <c r="T253" s="313"/>
      <c r="U253" s="313"/>
      <c r="V253" s="290">
        <f t="shared" si="146"/>
        <v>0</v>
      </c>
      <c r="W253" s="291">
        <v>0.09</v>
      </c>
      <c r="X253" s="292">
        <f t="shared" si="147"/>
        <v>0</v>
      </c>
      <c r="Y253" s="290">
        <v>0.0</v>
      </c>
      <c r="Z253" s="291">
        <v>0.09</v>
      </c>
      <c r="AA253" s="292">
        <f t="shared" si="148"/>
        <v>0</v>
      </c>
    </row>
    <row r="254" ht="15.75" customHeight="1">
      <c r="A254" s="293"/>
      <c r="B254" s="324" t="s">
        <v>246</v>
      </c>
      <c r="C254" s="152"/>
      <c r="D254" s="153"/>
      <c r="E254" s="312">
        <v>1.0</v>
      </c>
      <c r="F254" s="325" t="s">
        <v>29</v>
      </c>
      <c r="G254" s="313">
        <v>1.0</v>
      </c>
      <c r="H254" s="313"/>
      <c r="I254" s="313"/>
      <c r="J254" s="313"/>
      <c r="K254" s="290">
        <f t="shared" si="144"/>
        <v>0</v>
      </c>
      <c r="L254" s="291">
        <v>0.09</v>
      </c>
      <c r="M254" s="292">
        <f t="shared" si="145"/>
        <v>0</v>
      </c>
      <c r="N254" s="187"/>
      <c r="O254" s="60"/>
      <c r="P254" s="312">
        <v>1.0</v>
      </c>
      <c r="Q254" s="325" t="s">
        <v>29</v>
      </c>
      <c r="R254" s="313">
        <v>1.0</v>
      </c>
      <c r="S254" s="313"/>
      <c r="T254" s="313"/>
      <c r="U254" s="313"/>
      <c r="V254" s="290">
        <f t="shared" si="146"/>
        <v>0</v>
      </c>
      <c r="W254" s="291">
        <v>0.09</v>
      </c>
      <c r="X254" s="292">
        <f t="shared" si="147"/>
        <v>0</v>
      </c>
      <c r="Y254" s="290">
        <v>0.0</v>
      </c>
      <c r="Z254" s="291">
        <v>0.09</v>
      </c>
      <c r="AA254" s="292">
        <f t="shared" si="148"/>
        <v>0</v>
      </c>
    </row>
    <row r="255" ht="15.75" customHeight="1">
      <c r="A255" s="293"/>
      <c r="B255" s="315" t="s">
        <v>247</v>
      </c>
      <c r="C255" s="120"/>
      <c r="D255" s="121"/>
      <c r="E255" s="159"/>
      <c r="F255" s="160"/>
      <c r="G255" s="161"/>
      <c r="H255" s="161"/>
      <c r="I255" s="161"/>
      <c r="J255" s="161"/>
      <c r="K255" s="161"/>
      <c r="L255" s="161"/>
      <c r="M255" s="162"/>
      <c r="N255" s="164"/>
      <c r="O255" s="60"/>
      <c r="P255" s="160"/>
      <c r="Q255" s="160"/>
      <c r="R255" s="161"/>
      <c r="S255" s="161"/>
      <c r="T255" s="161"/>
      <c r="U255" s="161"/>
      <c r="V255" s="161"/>
      <c r="W255" s="161"/>
      <c r="X255" s="162"/>
      <c r="Y255" s="161"/>
      <c r="Z255" s="161"/>
      <c r="AA255" s="162"/>
    </row>
    <row r="256" ht="15.75" customHeight="1">
      <c r="A256" s="293"/>
      <c r="B256" s="203" t="s">
        <v>248</v>
      </c>
      <c r="C256" s="42"/>
      <c r="D256" s="43"/>
      <c r="E256" s="312">
        <v>1.0</v>
      </c>
      <c r="F256" s="325" t="s">
        <v>29</v>
      </c>
      <c r="G256" s="313">
        <v>1.0</v>
      </c>
      <c r="H256" s="313"/>
      <c r="I256" s="313"/>
      <c r="J256" s="313"/>
      <c r="K256" s="290">
        <f t="shared" ref="K256:K264" si="149">(E256*G256*H256)+(I256*J256*E256*G256)</f>
        <v>0</v>
      </c>
      <c r="L256" s="291">
        <v>0.09</v>
      </c>
      <c r="M256" s="292">
        <f t="shared" ref="M256:M264" si="150">K256/(1-L256)</f>
        <v>0</v>
      </c>
      <c r="N256" s="187"/>
      <c r="O256" s="60"/>
      <c r="P256" s="312">
        <v>1.0</v>
      </c>
      <c r="Q256" s="325" t="s">
        <v>29</v>
      </c>
      <c r="R256" s="313">
        <v>1.0</v>
      </c>
      <c r="S256" s="313"/>
      <c r="T256" s="313"/>
      <c r="U256" s="313"/>
      <c r="V256" s="290">
        <f t="shared" ref="V256:V264" si="151">(P256*R256*S256)+(T256*U256*P256*R256)</f>
        <v>0</v>
      </c>
      <c r="W256" s="291">
        <v>0.09</v>
      </c>
      <c r="X256" s="292">
        <f t="shared" ref="X256:X264" si="152">V256/(1-W256)</f>
        <v>0</v>
      </c>
      <c r="Y256" s="290">
        <v>0.0</v>
      </c>
      <c r="Z256" s="291">
        <v>0.09</v>
      </c>
      <c r="AA256" s="292">
        <f t="shared" ref="AA256:AA264" si="153">Y256/(1-Z256)</f>
        <v>0</v>
      </c>
    </row>
    <row r="257" ht="15.75" customHeight="1">
      <c r="A257" s="293"/>
      <c r="B257" s="203" t="s">
        <v>249</v>
      </c>
      <c r="C257" s="42"/>
      <c r="D257" s="43"/>
      <c r="E257" s="312">
        <v>1.0</v>
      </c>
      <c r="F257" s="325" t="s">
        <v>29</v>
      </c>
      <c r="G257" s="313">
        <v>1.0</v>
      </c>
      <c r="H257" s="313"/>
      <c r="I257" s="313"/>
      <c r="J257" s="313"/>
      <c r="K257" s="290">
        <f t="shared" si="149"/>
        <v>0</v>
      </c>
      <c r="L257" s="291">
        <v>0.09</v>
      </c>
      <c r="M257" s="292">
        <f t="shared" si="150"/>
        <v>0</v>
      </c>
      <c r="N257" s="187"/>
      <c r="O257" s="60"/>
      <c r="P257" s="312">
        <v>1.0</v>
      </c>
      <c r="Q257" s="325" t="s">
        <v>29</v>
      </c>
      <c r="R257" s="313">
        <v>1.0</v>
      </c>
      <c r="S257" s="313"/>
      <c r="T257" s="313"/>
      <c r="U257" s="313"/>
      <c r="V257" s="290">
        <f t="shared" si="151"/>
        <v>0</v>
      </c>
      <c r="W257" s="291">
        <v>0.09</v>
      </c>
      <c r="X257" s="292">
        <f t="shared" si="152"/>
        <v>0</v>
      </c>
      <c r="Y257" s="290">
        <v>0.0</v>
      </c>
      <c r="Z257" s="291">
        <v>0.09</v>
      </c>
      <c r="AA257" s="292">
        <f t="shared" si="153"/>
        <v>0</v>
      </c>
    </row>
    <row r="258" ht="15.75" customHeight="1">
      <c r="A258" s="293"/>
      <c r="B258" s="203" t="s">
        <v>250</v>
      </c>
      <c r="C258" s="42"/>
      <c r="D258" s="43"/>
      <c r="E258" s="312">
        <v>1.0</v>
      </c>
      <c r="F258" s="325" t="s">
        <v>29</v>
      </c>
      <c r="G258" s="313">
        <v>1.0</v>
      </c>
      <c r="H258" s="313"/>
      <c r="I258" s="313"/>
      <c r="J258" s="313"/>
      <c r="K258" s="290">
        <f t="shared" si="149"/>
        <v>0</v>
      </c>
      <c r="L258" s="291">
        <v>0.09</v>
      </c>
      <c r="M258" s="292">
        <f t="shared" si="150"/>
        <v>0</v>
      </c>
      <c r="N258" s="187"/>
      <c r="O258" s="60"/>
      <c r="P258" s="312">
        <v>1.0</v>
      </c>
      <c r="Q258" s="325" t="s">
        <v>29</v>
      </c>
      <c r="R258" s="313">
        <v>1.0</v>
      </c>
      <c r="S258" s="313"/>
      <c r="T258" s="313"/>
      <c r="U258" s="313"/>
      <c r="V258" s="290">
        <f t="shared" si="151"/>
        <v>0</v>
      </c>
      <c r="W258" s="291">
        <v>0.09</v>
      </c>
      <c r="X258" s="292">
        <f t="shared" si="152"/>
        <v>0</v>
      </c>
      <c r="Y258" s="290">
        <v>0.0</v>
      </c>
      <c r="Z258" s="291">
        <v>0.09</v>
      </c>
      <c r="AA258" s="292">
        <f t="shared" si="153"/>
        <v>0</v>
      </c>
    </row>
    <row r="259" ht="15.75" customHeight="1">
      <c r="A259" s="293"/>
      <c r="B259" s="203" t="s">
        <v>35</v>
      </c>
      <c r="C259" s="42"/>
      <c r="D259" s="43"/>
      <c r="E259" s="312">
        <v>1.0</v>
      </c>
      <c r="F259" s="325" t="s">
        <v>29</v>
      </c>
      <c r="G259" s="313">
        <v>1.0</v>
      </c>
      <c r="H259" s="313"/>
      <c r="I259" s="313"/>
      <c r="J259" s="313"/>
      <c r="K259" s="290">
        <f t="shared" si="149"/>
        <v>0</v>
      </c>
      <c r="L259" s="291">
        <v>0.09</v>
      </c>
      <c r="M259" s="292">
        <f t="shared" si="150"/>
        <v>0</v>
      </c>
      <c r="N259" s="187"/>
      <c r="O259" s="60"/>
      <c r="P259" s="312">
        <v>1.0</v>
      </c>
      <c r="Q259" s="325" t="s">
        <v>29</v>
      </c>
      <c r="R259" s="313">
        <v>1.0</v>
      </c>
      <c r="S259" s="313"/>
      <c r="T259" s="313"/>
      <c r="U259" s="313"/>
      <c r="V259" s="290">
        <f t="shared" si="151"/>
        <v>0</v>
      </c>
      <c r="W259" s="291">
        <v>0.09</v>
      </c>
      <c r="X259" s="292">
        <f t="shared" si="152"/>
        <v>0</v>
      </c>
      <c r="Y259" s="290">
        <v>0.0</v>
      </c>
      <c r="Z259" s="291">
        <v>0.09</v>
      </c>
      <c r="AA259" s="292">
        <f t="shared" si="153"/>
        <v>0</v>
      </c>
    </row>
    <row r="260" ht="15.75" customHeight="1">
      <c r="A260" s="293"/>
      <c r="B260" s="203" t="s">
        <v>251</v>
      </c>
      <c r="C260" s="42"/>
      <c r="D260" s="43"/>
      <c r="E260" s="312">
        <v>1.0</v>
      </c>
      <c r="F260" s="325" t="s">
        <v>29</v>
      </c>
      <c r="G260" s="313">
        <v>1.0</v>
      </c>
      <c r="H260" s="313"/>
      <c r="I260" s="313"/>
      <c r="J260" s="313"/>
      <c r="K260" s="290">
        <f t="shared" si="149"/>
        <v>0</v>
      </c>
      <c r="L260" s="291">
        <v>0.09</v>
      </c>
      <c r="M260" s="292">
        <f t="shared" si="150"/>
        <v>0</v>
      </c>
      <c r="N260" s="187"/>
      <c r="O260" s="60"/>
      <c r="P260" s="312">
        <v>1.0</v>
      </c>
      <c r="Q260" s="325" t="s">
        <v>29</v>
      </c>
      <c r="R260" s="313">
        <v>1.0</v>
      </c>
      <c r="S260" s="313"/>
      <c r="T260" s="313"/>
      <c r="U260" s="313"/>
      <c r="V260" s="290">
        <f t="shared" si="151"/>
        <v>0</v>
      </c>
      <c r="W260" s="291">
        <v>0.09</v>
      </c>
      <c r="X260" s="292">
        <f t="shared" si="152"/>
        <v>0</v>
      </c>
      <c r="Y260" s="290">
        <v>0.0</v>
      </c>
      <c r="Z260" s="291">
        <v>0.09</v>
      </c>
      <c r="AA260" s="292">
        <f t="shared" si="153"/>
        <v>0</v>
      </c>
    </row>
    <row r="261" ht="15.75" customHeight="1">
      <c r="A261" s="293"/>
      <c r="B261" s="204" t="s">
        <v>252</v>
      </c>
      <c r="C261" s="168"/>
      <c r="D261" s="36"/>
      <c r="E261" s="312">
        <v>1.0</v>
      </c>
      <c r="F261" s="325" t="s">
        <v>29</v>
      </c>
      <c r="G261" s="313">
        <v>1.0</v>
      </c>
      <c r="H261" s="313"/>
      <c r="I261" s="313"/>
      <c r="J261" s="313"/>
      <c r="K261" s="290">
        <f t="shared" si="149"/>
        <v>0</v>
      </c>
      <c r="L261" s="291">
        <v>0.09</v>
      </c>
      <c r="M261" s="292">
        <f t="shared" si="150"/>
        <v>0</v>
      </c>
      <c r="N261" s="187"/>
      <c r="O261" s="60"/>
      <c r="P261" s="312">
        <v>1.0</v>
      </c>
      <c r="Q261" s="325" t="s">
        <v>29</v>
      </c>
      <c r="R261" s="313">
        <v>1.0</v>
      </c>
      <c r="S261" s="313"/>
      <c r="T261" s="313"/>
      <c r="U261" s="313"/>
      <c r="V261" s="290">
        <f t="shared" si="151"/>
        <v>0</v>
      </c>
      <c r="W261" s="291">
        <v>0.09</v>
      </c>
      <c r="X261" s="292">
        <f t="shared" si="152"/>
        <v>0</v>
      </c>
      <c r="Y261" s="290">
        <v>0.0</v>
      </c>
      <c r="Z261" s="291">
        <v>0.09</v>
      </c>
      <c r="AA261" s="292">
        <f t="shared" si="153"/>
        <v>0</v>
      </c>
    </row>
    <row r="262" ht="15.75" customHeight="1">
      <c r="A262" s="293"/>
      <c r="B262" s="205" t="s">
        <v>253</v>
      </c>
      <c r="C262" s="152"/>
      <c r="D262" s="153"/>
      <c r="E262" s="312">
        <v>1.0</v>
      </c>
      <c r="F262" s="325" t="s">
        <v>29</v>
      </c>
      <c r="G262" s="313">
        <v>1.0</v>
      </c>
      <c r="H262" s="313"/>
      <c r="I262" s="313"/>
      <c r="J262" s="313"/>
      <c r="K262" s="290">
        <f t="shared" si="149"/>
        <v>0</v>
      </c>
      <c r="L262" s="291">
        <v>0.09</v>
      </c>
      <c r="M262" s="292">
        <f t="shared" si="150"/>
        <v>0</v>
      </c>
      <c r="N262" s="187"/>
      <c r="O262" s="60"/>
      <c r="P262" s="312">
        <v>1.0</v>
      </c>
      <c r="Q262" s="325" t="s">
        <v>29</v>
      </c>
      <c r="R262" s="313">
        <v>1.0</v>
      </c>
      <c r="S262" s="313"/>
      <c r="T262" s="313"/>
      <c r="U262" s="313"/>
      <c r="V262" s="290">
        <f t="shared" si="151"/>
        <v>0</v>
      </c>
      <c r="W262" s="291">
        <v>0.09</v>
      </c>
      <c r="X262" s="292">
        <f t="shared" si="152"/>
        <v>0</v>
      </c>
      <c r="Y262" s="290">
        <v>0.0</v>
      </c>
      <c r="Z262" s="291">
        <v>0.09</v>
      </c>
      <c r="AA262" s="292">
        <f t="shared" si="153"/>
        <v>0</v>
      </c>
    </row>
    <row r="263" ht="15.75" customHeight="1">
      <c r="A263" s="293"/>
      <c r="B263" s="205" t="s">
        <v>245</v>
      </c>
      <c r="C263" s="152"/>
      <c r="D263" s="153"/>
      <c r="E263" s="312">
        <v>1.0</v>
      </c>
      <c r="F263" s="325" t="s">
        <v>29</v>
      </c>
      <c r="G263" s="313">
        <v>1.0</v>
      </c>
      <c r="H263" s="313"/>
      <c r="I263" s="313"/>
      <c r="J263" s="313"/>
      <c r="K263" s="290">
        <f t="shared" si="149"/>
        <v>0</v>
      </c>
      <c r="L263" s="291">
        <v>0.09</v>
      </c>
      <c r="M263" s="292">
        <f t="shared" si="150"/>
        <v>0</v>
      </c>
      <c r="N263" s="187"/>
      <c r="O263" s="60"/>
      <c r="P263" s="312">
        <v>1.0</v>
      </c>
      <c r="Q263" s="325" t="s">
        <v>29</v>
      </c>
      <c r="R263" s="313">
        <v>1.0</v>
      </c>
      <c r="S263" s="313"/>
      <c r="T263" s="313"/>
      <c r="U263" s="313"/>
      <c r="V263" s="290">
        <f t="shared" si="151"/>
        <v>0</v>
      </c>
      <c r="W263" s="291">
        <v>0.09</v>
      </c>
      <c r="X263" s="292">
        <f t="shared" si="152"/>
        <v>0</v>
      </c>
      <c r="Y263" s="290">
        <v>0.0</v>
      </c>
      <c r="Z263" s="291">
        <v>0.09</v>
      </c>
      <c r="AA263" s="292">
        <f t="shared" si="153"/>
        <v>0</v>
      </c>
    </row>
    <row r="264" ht="15.75" customHeight="1">
      <c r="A264" s="293"/>
      <c r="B264" s="205" t="s">
        <v>254</v>
      </c>
      <c r="C264" s="152"/>
      <c r="D264" s="153"/>
      <c r="E264" s="312">
        <v>1.0</v>
      </c>
      <c r="F264" s="325" t="s">
        <v>29</v>
      </c>
      <c r="G264" s="313">
        <v>1.0</v>
      </c>
      <c r="H264" s="313"/>
      <c r="I264" s="313"/>
      <c r="J264" s="313"/>
      <c r="K264" s="290">
        <f t="shared" si="149"/>
        <v>0</v>
      </c>
      <c r="L264" s="291">
        <v>0.09</v>
      </c>
      <c r="M264" s="292">
        <f t="shared" si="150"/>
        <v>0</v>
      </c>
      <c r="N264" s="187"/>
      <c r="O264" s="60"/>
      <c r="P264" s="312">
        <v>1.0</v>
      </c>
      <c r="Q264" s="325" t="s">
        <v>29</v>
      </c>
      <c r="R264" s="313">
        <v>1.0</v>
      </c>
      <c r="S264" s="313"/>
      <c r="T264" s="313"/>
      <c r="U264" s="313"/>
      <c r="V264" s="290">
        <f t="shared" si="151"/>
        <v>0</v>
      </c>
      <c r="W264" s="291">
        <v>0.09</v>
      </c>
      <c r="X264" s="292">
        <f t="shared" si="152"/>
        <v>0</v>
      </c>
      <c r="Y264" s="290">
        <v>0.0</v>
      </c>
      <c r="Z264" s="291">
        <v>0.09</v>
      </c>
      <c r="AA264" s="292">
        <f t="shared" si="153"/>
        <v>0</v>
      </c>
    </row>
    <row r="265" ht="15.75" customHeight="1">
      <c r="A265" s="314"/>
      <c r="B265" s="163" t="s">
        <v>255</v>
      </c>
      <c r="C265" s="157"/>
      <c r="D265" s="158"/>
      <c r="E265" s="159"/>
      <c r="F265" s="160"/>
      <c r="G265" s="161"/>
      <c r="H265" s="161"/>
      <c r="I265" s="161"/>
      <c r="J265" s="161"/>
      <c r="K265" s="161"/>
      <c r="L265" s="161"/>
      <c r="M265" s="162"/>
      <c r="N265" s="164"/>
      <c r="O265" s="60"/>
      <c r="P265" s="160"/>
      <c r="Q265" s="160"/>
      <c r="R265" s="161"/>
      <c r="S265" s="161"/>
      <c r="T265" s="161"/>
      <c r="U265" s="161"/>
      <c r="V265" s="161"/>
      <c r="W265" s="161"/>
      <c r="X265" s="162"/>
      <c r="Y265" s="161"/>
      <c r="Z265" s="161"/>
      <c r="AA265" s="162"/>
    </row>
    <row r="266" ht="15.75" customHeight="1">
      <c r="A266" s="295"/>
      <c r="B266" s="324" t="s">
        <v>256</v>
      </c>
      <c r="C266" s="152"/>
      <c r="D266" s="153"/>
      <c r="E266" s="312">
        <v>1.0</v>
      </c>
      <c r="F266" s="312" t="s">
        <v>145</v>
      </c>
      <c r="G266" s="313">
        <v>1.0</v>
      </c>
      <c r="H266" s="313"/>
      <c r="I266" s="313"/>
      <c r="J266" s="313"/>
      <c r="K266" s="290">
        <f t="shared" ref="K266:K270" si="154">(E266*G266*H266)+(I266*J266*E266*G266)</f>
        <v>0</v>
      </c>
      <c r="L266" s="291">
        <v>0.09</v>
      </c>
      <c r="M266" s="292">
        <f t="shared" ref="M266:M270" si="155">K266/(1-L266)</f>
        <v>0</v>
      </c>
      <c r="N266" s="187"/>
      <c r="O266" s="60"/>
      <c r="P266" s="312">
        <v>1.0</v>
      </c>
      <c r="Q266" s="312" t="s">
        <v>145</v>
      </c>
      <c r="R266" s="313">
        <v>1.0</v>
      </c>
      <c r="S266" s="313"/>
      <c r="T266" s="313"/>
      <c r="U266" s="313"/>
      <c r="V266" s="290">
        <f t="shared" ref="V266:V270" si="156">(P266*R266*S266)+(T266*U266*P266*R266)</f>
        <v>0</v>
      </c>
      <c r="W266" s="291">
        <v>0.09</v>
      </c>
      <c r="X266" s="292">
        <f t="shared" ref="X266:X270" si="157">V266/(1-W266)</f>
        <v>0</v>
      </c>
      <c r="Y266" s="290">
        <v>0.0</v>
      </c>
      <c r="Z266" s="291">
        <v>0.09</v>
      </c>
      <c r="AA266" s="292">
        <f t="shared" ref="AA266:AA270" si="158">Y266/(1-Z266)</f>
        <v>0</v>
      </c>
    </row>
    <row r="267" ht="15.75" customHeight="1">
      <c r="A267" s="295"/>
      <c r="B267" s="281" t="s">
        <v>257</v>
      </c>
      <c r="C267" s="42"/>
      <c r="D267" s="43"/>
      <c r="E267" s="325">
        <v>1.0</v>
      </c>
      <c r="F267" s="325" t="s">
        <v>29</v>
      </c>
      <c r="G267" s="290">
        <v>1.0</v>
      </c>
      <c r="H267" s="290"/>
      <c r="I267" s="290"/>
      <c r="J267" s="290"/>
      <c r="K267" s="290">
        <f t="shared" si="154"/>
        <v>0</v>
      </c>
      <c r="L267" s="291">
        <v>0.09</v>
      </c>
      <c r="M267" s="292">
        <f t="shared" si="155"/>
        <v>0</v>
      </c>
      <c r="N267" s="187"/>
      <c r="O267" s="60"/>
      <c r="P267" s="325">
        <v>1.0</v>
      </c>
      <c r="Q267" s="325" t="s">
        <v>29</v>
      </c>
      <c r="R267" s="290">
        <v>1.0</v>
      </c>
      <c r="S267" s="290"/>
      <c r="T267" s="290"/>
      <c r="U267" s="290"/>
      <c r="V267" s="290">
        <f t="shared" si="156"/>
        <v>0</v>
      </c>
      <c r="W267" s="291">
        <v>0.09</v>
      </c>
      <c r="X267" s="292">
        <f t="shared" si="157"/>
        <v>0</v>
      </c>
      <c r="Y267" s="290">
        <v>0.0</v>
      </c>
      <c r="Z267" s="291">
        <v>0.09</v>
      </c>
      <c r="AA267" s="292">
        <f t="shared" si="158"/>
        <v>0</v>
      </c>
    </row>
    <row r="268" ht="15.75" customHeight="1">
      <c r="A268" s="295"/>
      <c r="B268" s="281" t="s">
        <v>258</v>
      </c>
      <c r="C268" s="42"/>
      <c r="D268" s="43"/>
      <c r="E268" s="325">
        <v>1.0</v>
      </c>
      <c r="F268" s="325" t="s">
        <v>29</v>
      </c>
      <c r="G268" s="290">
        <v>1.0</v>
      </c>
      <c r="H268" s="290"/>
      <c r="I268" s="290"/>
      <c r="J268" s="290"/>
      <c r="K268" s="290">
        <f t="shared" si="154"/>
        <v>0</v>
      </c>
      <c r="L268" s="291">
        <v>0.09</v>
      </c>
      <c r="M268" s="292">
        <f t="shared" si="155"/>
        <v>0</v>
      </c>
      <c r="N268" s="187"/>
      <c r="O268" s="60"/>
      <c r="P268" s="325">
        <v>1.0</v>
      </c>
      <c r="Q268" s="325" t="s">
        <v>29</v>
      </c>
      <c r="R268" s="290">
        <v>1.0</v>
      </c>
      <c r="S268" s="290"/>
      <c r="T268" s="290"/>
      <c r="U268" s="290"/>
      <c r="V268" s="290">
        <f t="shared" si="156"/>
        <v>0</v>
      </c>
      <c r="W268" s="291">
        <v>0.09</v>
      </c>
      <c r="X268" s="292">
        <f t="shared" si="157"/>
        <v>0</v>
      </c>
      <c r="Y268" s="290">
        <v>0.0</v>
      </c>
      <c r="Z268" s="291">
        <v>0.09</v>
      </c>
      <c r="AA268" s="292">
        <f t="shared" si="158"/>
        <v>0</v>
      </c>
    </row>
    <row r="269" ht="15.75" customHeight="1">
      <c r="A269" s="295"/>
      <c r="B269" s="281" t="s">
        <v>259</v>
      </c>
      <c r="C269" s="42"/>
      <c r="D269" s="43"/>
      <c r="E269" s="325">
        <v>1.0</v>
      </c>
      <c r="F269" s="325" t="s">
        <v>49</v>
      </c>
      <c r="G269" s="290">
        <v>1.0</v>
      </c>
      <c r="H269" s="290"/>
      <c r="I269" s="290"/>
      <c r="J269" s="290"/>
      <c r="K269" s="290">
        <f t="shared" si="154"/>
        <v>0</v>
      </c>
      <c r="L269" s="291">
        <v>0.09</v>
      </c>
      <c r="M269" s="292">
        <f t="shared" si="155"/>
        <v>0</v>
      </c>
      <c r="N269" s="187"/>
      <c r="O269" s="60"/>
      <c r="P269" s="325">
        <v>1.0</v>
      </c>
      <c r="Q269" s="325" t="s">
        <v>49</v>
      </c>
      <c r="R269" s="290">
        <v>1.0</v>
      </c>
      <c r="S269" s="290"/>
      <c r="T269" s="290"/>
      <c r="U269" s="290"/>
      <c r="V269" s="290">
        <f t="shared" si="156"/>
        <v>0</v>
      </c>
      <c r="W269" s="291">
        <v>0.09</v>
      </c>
      <c r="X269" s="292">
        <f t="shared" si="157"/>
        <v>0</v>
      </c>
      <c r="Y269" s="290">
        <v>0.0</v>
      </c>
      <c r="Z269" s="291">
        <v>0.09</v>
      </c>
      <c r="AA269" s="292">
        <f t="shared" si="158"/>
        <v>0</v>
      </c>
    </row>
    <row r="270" ht="15.75" customHeight="1">
      <c r="A270" s="295"/>
      <c r="B270" s="322" t="s">
        <v>260</v>
      </c>
      <c r="C270" s="70"/>
      <c r="D270" s="71"/>
      <c r="E270" s="325">
        <v>1.0</v>
      </c>
      <c r="F270" s="325" t="s">
        <v>261</v>
      </c>
      <c r="G270" s="290">
        <v>1.0</v>
      </c>
      <c r="H270" s="290"/>
      <c r="I270" s="333"/>
      <c r="J270" s="333"/>
      <c r="K270" s="290">
        <f t="shared" si="154"/>
        <v>0</v>
      </c>
      <c r="L270" s="291">
        <v>0.09</v>
      </c>
      <c r="M270" s="292">
        <f t="shared" si="155"/>
        <v>0</v>
      </c>
      <c r="N270" s="187"/>
      <c r="O270" s="60"/>
      <c r="P270" s="325">
        <v>1.0</v>
      </c>
      <c r="Q270" s="325" t="s">
        <v>261</v>
      </c>
      <c r="R270" s="290">
        <v>1.0</v>
      </c>
      <c r="S270" s="290"/>
      <c r="T270" s="333"/>
      <c r="U270" s="333"/>
      <c r="V270" s="290">
        <f t="shared" si="156"/>
        <v>0</v>
      </c>
      <c r="W270" s="291">
        <v>0.09</v>
      </c>
      <c r="X270" s="292">
        <f t="shared" si="157"/>
        <v>0</v>
      </c>
      <c r="Y270" s="290">
        <v>0.0</v>
      </c>
      <c r="Z270" s="291">
        <v>0.09</v>
      </c>
      <c r="AA270" s="292">
        <f t="shared" si="158"/>
        <v>0</v>
      </c>
    </row>
    <row r="271" ht="15.75" customHeight="1">
      <c r="E271" s="298"/>
      <c r="F271" s="306"/>
      <c r="G271" s="300"/>
      <c r="H271" s="300"/>
      <c r="I271" s="307"/>
      <c r="J271" s="307"/>
      <c r="K271" s="307"/>
      <c r="L271" s="308" t="s">
        <v>262</v>
      </c>
      <c r="M271" s="304">
        <f>SUM(M236:M270)</f>
        <v>21978.02198</v>
      </c>
      <c r="N271" s="305"/>
      <c r="O271" s="60"/>
      <c r="P271" s="306"/>
      <c r="Q271" s="306"/>
      <c r="R271" s="300"/>
      <c r="S271" s="300"/>
      <c r="T271" s="307"/>
      <c r="U271" s="307"/>
      <c r="V271" s="307"/>
      <c r="W271" s="308" t="s">
        <v>262</v>
      </c>
      <c r="X271" s="304">
        <f>SUM(X236:X270)</f>
        <v>21978.02198</v>
      </c>
      <c r="Y271" s="307"/>
      <c r="Z271" s="308" t="s">
        <v>262</v>
      </c>
      <c r="AA271" s="304">
        <f>SUM(AA236:AA270)</f>
        <v>0</v>
      </c>
    </row>
    <row r="272" ht="18.75" customHeight="1">
      <c r="A272" s="248"/>
      <c r="B272" s="248"/>
      <c r="C272" s="248"/>
      <c r="D272" s="248"/>
      <c r="E272" s="295"/>
      <c r="F272" s="295"/>
      <c r="G272" s="295"/>
      <c r="H272" s="295"/>
      <c r="I272" s="295"/>
      <c r="J272" s="295"/>
      <c r="K272" s="295"/>
      <c r="L272" s="344"/>
      <c r="M272" s="345"/>
      <c r="N272" s="187"/>
      <c r="O272" s="60"/>
      <c r="P272" s="346"/>
      <c r="Q272" s="346"/>
      <c r="R272" s="344"/>
      <c r="S272" s="344"/>
      <c r="T272" s="344"/>
      <c r="U272" s="344"/>
      <c r="V272" s="344"/>
      <c r="W272" s="344"/>
      <c r="X272" s="347"/>
      <c r="Y272" s="59"/>
      <c r="Z272" s="59"/>
      <c r="AA272" s="59"/>
    </row>
    <row r="273" ht="15.75" customHeight="1">
      <c r="A273" s="248"/>
      <c r="B273" s="248"/>
      <c r="C273" s="248"/>
      <c r="D273" s="248"/>
      <c r="E273" s="348"/>
      <c r="F273" s="348"/>
      <c r="G273" s="348"/>
      <c r="H273" s="348"/>
      <c r="I273" s="349"/>
      <c r="J273" s="350"/>
      <c r="K273" s="350"/>
      <c r="L273" s="350" t="s">
        <v>263</v>
      </c>
      <c r="M273" s="351">
        <f>M18+M29+M37+M121+M149+M166+M182+M190+M209+M233</f>
        <v>2028131.868</v>
      </c>
      <c r="N273" s="187"/>
      <c r="O273" s="60"/>
      <c r="P273" s="352"/>
      <c r="Q273" s="348"/>
      <c r="R273" s="348"/>
      <c r="S273" s="348"/>
      <c r="T273" s="348"/>
      <c r="U273" s="348"/>
      <c r="V273" s="349"/>
      <c r="W273" s="350" t="s">
        <v>192</v>
      </c>
      <c r="X273" s="351">
        <f>X18+X29+X37+X121+X149+X166+X182+X190+X209+X233</f>
        <v>2139670.33</v>
      </c>
      <c r="Y273" s="349"/>
      <c r="Z273" s="350" t="s">
        <v>192</v>
      </c>
      <c r="AA273" s="351">
        <f>AA18+AA29+AA37+AA121+AA149+AA166+AA182+AA190+AA209+AA233</f>
        <v>0</v>
      </c>
    </row>
    <row r="274" ht="15.75" customHeight="1">
      <c r="A274" s="248"/>
      <c r="B274" s="248"/>
      <c r="C274" s="248"/>
      <c r="D274" s="248"/>
      <c r="E274" s="348"/>
      <c r="F274" s="348"/>
      <c r="G274" s="348"/>
      <c r="H274" s="348"/>
      <c r="I274" s="349"/>
      <c r="J274" s="350"/>
      <c r="K274" s="350"/>
      <c r="L274" s="350" t="s">
        <v>264</v>
      </c>
      <c r="M274" s="353">
        <f>M271</f>
        <v>21978.02198</v>
      </c>
      <c r="N274" s="187"/>
      <c r="O274" s="60"/>
      <c r="P274" s="352"/>
      <c r="Q274" s="348"/>
      <c r="R274" s="348"/>
      <c r="S274" s="348"/>
      <c r="T274" s="348"/>
      <c r="U274" s="348"/>
      <c r="V274" s="349"/>
      <c r="W274" s="354" t="s">
        <v>264</v>
      </c>
      <c r="X274" s="353">
        <f>X271</f>
        <v>21978.02198</v>
      </c>
      <c r="Y274" s="349"/>
      <c r="Z274" s="354" t="s">
        <v>264</v>
      </c>
      <c r="AA274" s="353">
        <f>AA271</f>
        <v>0</v>
      </c>
    </row>
    <row r="275" ht="15.75" customHeight="1">
      <c r="A275" s="248"/>
      <c r="B275" s="248"/>
      <c r="C275" s="248"/>
      <c r="D275" s="248"/>
      <c r="E275" s="355"/>
      <c r="F275" s="355"/>
      <c r="G275" s="355"/>
      <c r="H275" s="355"/>
      <c r="I275" s="354"/>
      <c r="J275" s="354"/>
      <c r="K275" s="354" t="s">
        <v>265</v>
      </c>
      <c r="L275" s="356">
        <v>0.03</v>
      </c>
      <c r="M275" s="357">
        <f>(M273+M274)*L275</f>
        <v>61503.2967</v>
      </c>
      <c r="N275" s="187"/>
      <c r="O275" s="60"/>
      <c r="P275" s="358"/>
      <c r="Q275" s="355"/>
      <c r="R275" s="355"/>
      <c r="S275" s="355"/>
      <c r="T275" s="355"/>
      <c r="U275" s="355"/>
      <c r="V275" s="354"/>
      <c r="W275" s="354" t="s">
        <v>265</v>
      </c>
      <c r="X275" s="357">
        <f>M275</f>
        <v>61503.2967</v>
      </c>
      <c r="Y275" s="354"/>
      <c r="Z275" s="354" t="s">
        <v>265</v>
      </c>
      <c r="AA275" s="357">
        <v>0.0</v>
      </c>
    </row>
    <row r="276" ht="15.75" customHeight="1">
      <c r="A276" s="248"/>
      <c r="B276" s="248"/>
      <c r="C276" s="248"/>
      <c r="D276" s="248"/>
      <c r="E276" s="359"/>
      <c r="F276" s="359"/>
      <c r="G276" s="359"/>
      <c r="H276" s="359"/>
      <c r="I276" s="359"/>
      <c r="J276" s="360"/>
      <c r="K276" s="360"/>
      <c r="L276" s="360" t="s">
        <v>266</v>
      </c>
      <c r="M276" s="361">
        <f>M273+M274+M275</f>
        <v>2111613.187</v>
      </c>
      <c r="N276" s="187"/>
      <c r="O276" s="60"/>
      <c r="P276" s="362"/>
      <c r="Q276" s="359"/>
      <c r="R276" s="359"/>
      <c r="S276" s="359"/>
      <c r="T276" s="359"/>
      <c r="U276" s="359"/>
      <c r="V276" s="359"/>
      <c r="W276" s="360" t="s">
        <v>266</v>
      </c>
      <c r="X276" s="361">
        <f>X273+X274+X275</f>
        <v>2223151.648</v>
      </c>
      <c r="Y276" s="360"/>
      <c r="Z276" s="360" t="s">
        <v>267</v>
      </c>
      <c r="AA276" s="361">
        <f>AA273+AA274+AA275</f>
        <v>0</v>
      </c>
    </row>
    <row r="277" ht="15.75" customHeight="1">
      <c r="A277" s="248"/>
      <c r="B277" s="248"/>
      <c r="C277" s="248"/>
      <c r="D277" s="248"/>
      <c r="E277" s="363"/>
      <c r="F277" s="363"/>
      <c r="G277" s="363"/>
      <c r="H277" s="363"/>
      <c r="I277" s="364"/>
      <c r="J277" s="364"/>
      <c r="K277" s="364" t="s">
        <v>268</v>
      </c>
      <c r="L277" s="365">
        <v>0.1</v>
      </c>
      <c r="M277" s="351">
        <f>M276*L277</f>
        <v>211161.3187</v>
      </c>
      <c r="N277" s="187"/>
      <c r="O277" s="60"/>
      <c r="P277" s="366"/>
      <c r="Q277" s="363"/>
      <c r="R277" s="363"/>
      <c r="S277" s="363"/>
      <c r="T277" s="363"/>
      <c r="U277" s="363"/>
      <c r="V277" s="350"/>
      <c r="W277" s="350"/>
      <c r="X277" s="350"/>
      <c r="Y277" s="367"/>
      <c r="Z277" s="350"/>
      <c r="AA277" s="350"/>
    </row>
    <row r="278" ht="15.75" customHeight="1">
      <c r="A278" s="248"/>
      <c r="B278" s="248"/>
      <c r="C278" s="248"/>
      <c r="D278" s="248"/>
      <c r="E278" s="355"/>
      <c r="F278" s="355"/>
      <c r="G278" s="355"/>
      <c r="H278" s="355"/>
      <c r="I278" s="354"/>
      <c r="J278" s="354"/>
      <c r="K278" s="354" t="s">
        <v>269</v>
      </c>
      <c r="L278" s="357">
        <v>0.0</v>
      </c>
      <c r="M278" s="357">
        <f>M276*L278*4.5%</f>
        <v>0</v>
      </c>
      <c r="N278" s="187"/>
      <c r="O278" s="60"/>
      <c r="P278" s="358"/>
      <c r="Q278" s="355"/>
      <c r="R278" s="355"/>
      <c r="S278" s="355"/>
      <c r="T278" s="355"/>
      <c r="U278" s="355"/>
      <c r="V278" s="354" t="s">
        <v>270</v>
      </c>
      <c r="W278" s="357">
        <f>L278</f>
        <v>0</v>
      </c>
      <c r="X278" s="357">
        <f>X276*W278*4.5%/2</f>
        <v>0</v>
      </c>
      <c r="Y278" s="354"/>
      <c r="Z278" s="354" t="s">
        <v>270</v>
      </c>
      <c r="AA278" s="357">
        <f>X278</f>
        <v>0</v>
      </c>
    </row>
    <row r="279" ht="15.75" customHeight="1">
      <c r="A279" s="248"/>
      <c r="B279" s="248"/>
      <c r="C279" s="248"/>
      <c r="D279" s="248"/>
      <c r="E279" s="359"/>
      <c r="F279" s="359"/>
      <c r="G279" s="359"/>
      <c r="H279" s="359"/>
      <c r="I279" s="359"/>
      <c r="J279" s="360"/>
      <c r="K279" s="360"/>
      <c r="L279" s="360" t="s">
        <v>282</v>
      </c>
      <c r="M279" s="361">
        <f>SUM(M276+M277+M278)</f>
        <v>2322774.505</v>
      </c>
      <c r="N279" s="187"/>
      <c r="O279" s="60"/>
      <c r="P279" s="362"/>
      <c r="Q279" s="359"/>
      <c r="R279" s="359"/>
      <c r="S279" s="359"/>
      <c r="T279" s="359"/>
      <c r="U279" s="359"/>
      <c r="V279" s="359"/>
      <c r="W279" s="368" t="s">
        <v>272</v>
      </c>
      <c r="X279" s="361">
        <f>SUM(X276+X278)</f>
        <v>2223151.648</v>
      </c>
      <c r="Y279" s="368"/>
      <c r="Z279" s="368" t="s">
        <v>272</v>
      </c>
      <c r="AA279" s="361">
        <f>SUM(AA276+AA278)</f>
        <v>0</v>
      </c>
    </row>
    <row r="280" ht="15.75" customHeight="1">
      <c r="A280" s="248"/>
      <c r="B280" s="248"/>
      <c r="C280" s="248"/>
      <c r="D280" s="248"/>
      <c r="E280" s="369"/>
      <c r="F280" s="369"/>
      <c r="G280" s="369"/>
      <c r="H280" s="369"/>
      <c r="I280" s="370"/>
      <c r="J280" s="350"/>
      <c r="K280" s="350" t="s">
        <v>283</v>
      </c>
      <c r="L280" s="371">
        <v>0.12</v>
      </c>
      <c r="M280" s="351">
        <f>(M279/0.88)-M279</f>
        <v>316741.978</v>
      </c>
      <c r="N280" s="187"/>
      <c r="O280" s="60"/>
      <c r="P280" s="372"/>
      <c r="Q280" s="369"/>
      <c r="R280" s="369"/>
      <c r="S280" s="369"/>
      <c r="T280" s="369"/>
      <c r="U280" s="369"/>
      <c r="V280" s="370"/>
      <c r="W280" s="350"/>
      <c r="X280" s="350"/>
      <c r="Y280" s="370"/>
      <c r="Z280" s="350"/>
      <c r="AA280" s="350"/>
    </row>
    <row r="281" ht="15.75" customHeight="1">
      <c r="A281" s="248"/>
      <c r="B281" s="248"/>
      <c r="C281" s="248"/>
      <c r="D281" s="248"/>
      <c r="E281" s="359"/>
      <c r="F281" s="359"/>
      <c r="G281" s="359"/>
      <c r="H281" s="359"/>
      <c r="I281" s="359"/>
      <c r="J281" s="368"/>
      <c r="K281" s="368"/>
      <c r="L281" s="360" t="s">
        <v>284</v>
      </c>
      <c r="M281" s="373">
        <f>M279+M280</f>
        <v>2639516.484</v>
      </c>
      <c r="N281" s="187"/>
      <c r="O281" s="60"/>
      <c r="P281" s="374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  <c r="AA281" s="350"/>
    </row>
    <row r="282" ht="15.75" customHeight="1">
      <c r="A282" s="248"/>
      <c r="B282" s="248"/>
      <c r="C282" s="248"/>
      <c r="D282" s="248"/>
      <c r="E282" s="250"/>
      <c r="F282" s="250"/>
      <c r="G282" s="250"/>
      <c r="H282" s="250"/>
      <c r="I282" s="250"/>
      <c r="J282" s="250"/>
      <c r="K282" s="250"/>
      <c r="L282" s="250"/>
      <c r="M282" s="250"/>
      <c r="N282" s="187"/>
      <c r="O282" s="60"/>
      <c r="P282" s="346"/>
      <c r="Q282" s="346"/>
      <c r="R282" s="344"/>
      <c r="S282" s="344"/>
      <c r="T282" s="344"/>
      <c r="U282" s="344"/>
      <c r="V282" s="344"/>
      <c r="W282" s="344"/>
      <c r="X282" s="347"/>
      <c r="Y282" s="344"/>
      <c r="Z282" s="344"/>
      <c r="AA282" s="347"/>
    </row>
    <row r="283" ht="15.75" customHeight="1">
      <c r="A283" s="248"/>
      <c r="B283" s="322" t="s">
        <v>275</v>
      </c>
      <c r="C283" s="70"/>
      <c r="D283" s="71"/>
      <c r="E283" s="375" t="s">
        <v>276</v>
      </c>
      <c r="N283" s="238"/>
      <c r="O283" s="60"/>
      <c r="P283" s="376" t="s">
        <v>277</v>
      </c>
      <c r="X283" s="377">
        <f>M279-X279</f>
        <v>99622.85714</v>
      </c>
      <c r="Y283" s="378" t="s">
        <v>278</v>
      </c>
      <c r="AA283" s="379">
        <f>M279-AA279</f>
        <v>2322774.505</v>
      </c>
    </row>
    <row r="284" ht="15.75" customHeight="1">
      <c r="A284" s="248"/>
      <c r="B284" s="248"/>
      <c r="C284" s="248"/>
      <c r="D284" s="248"/>
      <c r="N284" s="238"/>
      <c r="O284" s="60"/>
      <c r="X284" s="380">
        <f>X283/M279</f>
        <v>0.04288959471</v>
      </c>
      <c r="AA284" s="381">
        <f>AA283/M279</f>
        <v>1</v>
      </c>
    </row>
    <row r="285" ht="15.75" customHeight="1">
      <c r="A285" s="248"/>
      <c r="B285" s="248"/>
      <c r="C285" s="248"/>
      <c r="D285" s="248"/>
      <c r="N285" s="238"/>
      <c r="O285" s="60"/>
      <c r="X285" s="382"/>
      <c r="AA285" s="383"/>
    </row>
    <row r="286" ht="13.5" customHeight="1">
      <c r="A286" s="248"/>
      <c r="B286" s="248"/>
      <c r="C286" s="248"/>
      <c r="D286" s="248"/>
      <c r="N286" s="238"/>
      <c r="O286" s="384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  <c r="AA286" s="248"/>
    </row>
    <row r="287" ht="15.75" customHeight="1">
      <c r="A287" s="248"/>
      <c r="B287" s="248"/>
      <c r="C287" s="248"/>
      <c r="D287" s="248"/>
      <c r="N287" s="238"/>
      <c r="O287" s="385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  <c r="AA287" s="248"/>
    </row>
    <row r="288" ht="15.75" customHeight="1">
      <c r="A288" s="248"/>
      <c r="B288" s="248"/>
      <c r="C288" s="248"/>
      <c r="D288" s="248"/>
      <c r="N288" s="238"/>
      <c r="O288" s="385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  <c r="AA288" s="248"/>
    </row>
    <row r="289" ht="15.75" customHeight="1">
      <c r="A289" s="248"/>
      <c r="B289" s="248"/>
      <c r="C289" s="248"/>
      <c r="D289" s="248"/>
      <c r="N289" s="238"/>
      <c r="O289" s="385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  <c r="AA289" s="248"/>
    </row>
    <row r="290" ht="15.75" customHeight="1">
      <c r="A290" s="248"/>
      <c r="B290" s="248"/>
      <c r="C290" s="248"/>
      <c r="D290" s="248"/>
      <c r="E290" s="375"/>
      <c r="F290" s="375"/>
      <c r="G290" s="375"/>
      <c r="H290" s="375"/>
      <c r="I290" s="375"/>
      <c r="J290" s="375"/>
      <c r="K290" s="375"/>
      <c r="L290" s="375"/>
      <c r="M290" s="375"/>
      <c r="N290" s="386"/>
      <c r="O290" s="385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  <c r="AA290" s="248"/>
    </row>
    <row r="291" ht="15.75" customHeight="1">
      <c r="A291" s="248"/>
      <c r="B291" s="248"/>
      <c r="C291" s="248"/>
      <c r="D291" s="248"/>
      <c r="E291" s="375"/>
      <c r="F291" s="375"/>
      <c r="G291" s="375"/>
      <c r="H291" s="375"/>
      <c r="I291" s="375"/>
      <c r="J291" s="375"/>
      <c r="K291" s="375"/>
      <c r="L291" s="375"/>
      <c r="M291" s="375"/>
      <c r="N291" s="386"/>
      <c r="O291" s="385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  <c r="AA291" s="248"/>
    </row>
    <row r="292" ht="15.75" customHeight="1">
      <c r="A292" s="248"/>
      <c r="B292" s="248"/>
      <c r="C292" s="248"/>
      <c r="D292" s="248"/>
      <c r="E292" s="387"/>
      <c r="F292" s="387"/>
      <c r="G292" s="387"/>
      <c r="H292" s="387"/>
      <c r="I292" s="387"/>
      <c r="J292" s="387"/>
      <c r="K292" s="387"/>
      <c r="L292" s="387"/>
      <c r="M292" s="387"/>
      <c r="N292" s="388"/>
      <c r="O292" s="385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  <c r="AA292" s="248"/>
    </row>
    <row r="293" ht="15.75" customHeight="1">
      <c r="A293" s="248"/>
      <c r="B293" s="248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9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  <c r="AA293" s="248"/>
    </row>
    <row r="294" ht="15.75" customHeight="1">
      <c r="A294" s="248"/>
      <c r="B294" s="248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9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  <c r="AA294" s="248"/>
    </row>
    <row r="295" ht="15.75" customHeight="1">
      <c r="A295" s="248"/>
      <c r="B295" s="248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9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  <c r="AA295" s="248"/>
    </row>
    <row r="296" ht="15.75" customHeight="1">
      <c r="A296" s="248"/>
      <c r="B296" s="248"/>
      <c r="C296" s="248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  <c r="N296" s="248"/>
      <c r="O296" s="249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  <c r="AA296" s="248"/>
    </row>
    <row r="297" ht="15.75" customHeight="1">
      <c r="A297" s="248"/>
      <c r="B297" s="248"/>
      <c r="C297" s="248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  <c r="N297" s="248"/>
      <c r="O297" s="249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  <c r="AA297" s="248"/>
    </row>
    <row r="298" ht="15.75" customHeight="1">
      <c r="A298" s="248"/>
      <c r="B298" s="248"/>
      <c r="C298" s="248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  <c r="N298" s="248"/>
      <c r="O298" s="249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  <c r="AA298" s="248"/>
    </row>
    <row r="299" ht="15.75" customHeight="1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9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</row>
    <row r="300" ht="15.75" customHeight="1">
      <c r="A300" s="248"/>
      <c r="B300" s="248"/>
      <c r="C300" s="248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  <c r="N300" s="248"/>
      <c r="O300" s="249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  <c r="AA300" s="248"/>
    </row>
    <row r="301" ht="15.75" customHeight="1">
      <c r="A301" s="248"/>
      <c r="B301" s="248"/>
      <c r="C301" s="248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  <c r="N301" s="248"/>
      <c r="O301" s="249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  <c r="AA301" s="248"/>
    </row>
    <row r="302" ht="15.75" customHeight="1">
      <c r="A302" s="248"/>
      <c r="B302" s="248"/>
      <c r="C302" s="248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48"/>
      <c r="O302" s="249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  <c r="AA302" s="248"/>
    </row>
    <row r="303" ht="15.75" customHeight="1">
      <c r="A303" s="248"/>
      <c r="B303" s="248"/>
      <c r="C303" s="248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  <c r="N303" s="248"/>
      <c r="O303" s="249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  <c r="AA303" s="248"/>
    </row>
    <row r="304" ht="15.75" customHeight="1">
      <c r="A304" s="248"/>
      <c r="B304" s="248"/>
      <c r="C304" s="248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  <c r="N304" s="248"/>
      <c r="O304" s="249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  <c r="AA304" s="248"/>
    </row>
    <row r="305" ht="15.75" customHeight="1">
      <c r="A305" s="248"/>
      <c r="B305" s="248"/>
      <c r="C305" s="248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  <c r="N305" s="248"/>
      <c r="O305" s="249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  <c r="AA305" s="248"/>
    </row>
    <row r="306" ht="15.75" customHeight="1">
      <c r="A306" s="248"/>
      <c r="B306" s="248"/>
      <c r="C306" s="248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  <c r="N306" s="248"/>
      <c r="O306" s="249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  <c r="AA306" s="248"/>
    </row>
    <row r="307" ht="15.75" customHeight="1">
      <c r="A307" s="248"/>
      <c r="B307" s="248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  <c r="N307" s="248"/>
      <c r="O307" s="249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  <c r="AA307" s="248"/>
    </row>
    <row r="308" ht="15.75" customHeight="1">
      <c r="A308" s="248"/>
      <c r="B308" s="248"/>
      <c r="C308" s="248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  <c r="N308" s="248"/>
      <c r="O308" s="249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  <c r="AA308" s="248"/>
    </row>
    <row r="309" ht="15.75" customHeight="1">
      <c r="A309" s="248"/>
      <c r="B309" s="248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9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</row>
    <row r="310" ht="15.75" customHeight="1">
      <c r="A310" s="248"/>
      <c r="B310" s="248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9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</row>
    <row r="311" ht="15.75" customHeight="1">
      <c r="A311" s="248"/>
      <c r="B311" s="248"/>
      <c r="C311" s="248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  <c r="N311" s="248"/>
      <c r="O311" s="249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  <c r="AA311" s="248"/>
    </row>
    <row r="312" ht="15.75" customHeight="1">
      <c r="A312" s="248"/>
      <c r="B312" s="248"/>
      <c r="C312" s="248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  <c r="N312" s="248"/>
      <c r="O312" s="249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  <c r="AA312" s="248"/>
    </row>
    <row r="313" ht="15.75" customHeight="1">
      <c r="A313" s="248"/>
      <c r="B313" s="248"/>
      <c r="C313" s="248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  <c r="N313" s="248"/>
      <c r="O313" s="249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  <c r="AA313" s="248"/>
    </row>
    <row r="314" ht="15.75" customHeight="1">
      <c r="A314" s="248"/>
      <c r="B314" s="248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8"/>
      <c r="O314" s="249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  <c r="AA314" s="248"/>
    </row>
    <row r="315" ht="15.75" customHeight="1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9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</row>
    <row r="316" ht="15.75" customHeight="1">
      <c r="A316" s="248"/>
      <c r="B316" s="248"/>
      <c r="C316" s="248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  <c r="N316" s="248"/>
      <c r="O316" s="249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</row>
    <row r="317" ht="15.75" customHeight="1">
      <c r="A317" s="248"/>
      <c r="B317" s="248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9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</row>
    <row r="318" ht="15.75" customHeight="1">
      <c r="A318" s="248"/>
      <c r="B318" s="248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9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  <c r="AA318" s="248"/>
    </row>
    <row r="319" ht="15.75" customHeight="1">
      <c r="A319" s="248"/>
      <c r="B319" s="248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9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  <c r="AA319" s="248"/>
    </row>
    <row r="320" ht="15.75" customHeight="1">
      <c r="A320" s="248"/>
      <c r="B320" s="248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9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  <c r="AA320" s="248"/>
    </row>
    <row r="321" ht="15.75" customHeight="1">
      <c r="A321" s="248"/>
      <c r="B321" s="248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9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  <c r="AA321" s="248"/>
    </row>
    <row r="322" ht="15.75" customHeight="1">
      <c r="A322" s="248"/>
      <c r="B322" s="248"/>
      <c r="C322" s="248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  <c r="N322" s="248"/>
      <c r="O322" s="249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  <c r="AA322" s="248"/>
    </row>
    <row r="323" ht="15.75" customHeight="1">
      <c r="A323" s="248"/>
      <c r="B323" s="248"/>
      <c r="C323" s="248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  <c r="N323" s="248"/>
      <c r="O323" s="249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  <c r="AA323" s="248"/>
    </row>
    <row r="324" ht="15.75" customHeight="1">
      <c r="A324" s="248"/>
      <c r="B324" s="248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9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  <c r="AA324" s="248"/>
    </row>
    <row r="325" ht="15.75" customHeight="1">
      <c r="A325" s="248"/>
      <c r="B325" s="248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9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  <c r="AA325" s="248"/>
    </row>
    <row r="326" ht="15.75" customHeight="1">
      <c r="A326" s="248"/>
      <c r="B326" s="248"/>
      <c r="C326" s="248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  <c r="N326" s="248"/>
      <c r="O326" s="249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  <c r="AA326" s="248"/>
    </row>
    <row r="327" ht="15.75" customHeight="1">
      <c r="A327" s="248"/>
      <c r="B327" s="248"/>
      <c r="C327" s="248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  <c r="N327" s="248"/>
      <c r="O327" s="249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  <c r="AA327" s="248"/>
    </row>
    <row r="328" ht="15.75" customHeight="1">
      <c r="A328" s="248"/>
      <c r="B328" s="248"/>
      <c r="C328" s="248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  <c r="N328" s="248"/>
      <c r="O328" s="249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  <c r="AA328" s="248"/>
    </row>
    <row r="329" ht="15.75" customHeight="1">
      <c r="A329" s="248"/>
      <c r="B329" s="248"/>
      <c r="C329" s="248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  <c r="N329" s="248"/>
      <c r="O329" s="249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</row>
    <row r="330" ht="15.75" customHeight="1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9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</row>
    <row r="331" ht="15.75" customHeight="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9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</row>
    <row r="332" ht="15.75" customHeight="1">
      <c r="A332" s="248"/>
      <c r="B332" s="248"/>
      <c r="C332" s="248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  <c r="N332" s="248"/>
      <c r="O332" s="249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  <c r="AA332" s="248"/>
    </row>
    <row r="333" ht="15.75" customHeight="1">
      <c r="A333" s="248"/>
      <c r="B333" s="248"/>
      <c r="C333" s="248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  <c r="N333" s="248"/>
      <c r="O333" s="249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  <c r="AA333" s="248"/>
    </row>
    <row r="334" ht="15.75" customHeight="1">
      <c r="A334" s="248"/>
      <c r="B334" s="248"/>
      <c r="C334" s="248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  <c r="N334" s="248"/>
      <c r="O334" s="249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  <c r="AA334" s="248"/>
    </row>
    <row r="335" ht="15.75" customHeight="1">
      <c r="A335" s="248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9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  <c r="AA335" s="248"/>
    </row>
    <row r="336" ht="15.75" customHeight="1">
      <c r="A336" s="248"/>
      <c r="B336" s="248"/>
      <c r="C336" s="248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  <c r="N336" s="248"/>
      <c r="O336" s="249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  <c r="AA336" s="248"/>
    </row>
    <row r="337" ht="15.75" customHeight="1">
      <c r="A337" s="248"/>
      <c r="B337" s="248"/>
      <c r="C337" s="248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  <c r="N337" s="248"/>
      <c r="O337" s="249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  <c r="AA337" s="248"/>
    </row>
    <row r="338" ht="15.75" customHeight="1">
      <c r="A338" s="248"/>
      <c r="B338" s="248"/>
      <c r="C338" s="248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  <c r="N338" s="248"/>
      <c r="O338" s="249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  <c r="AA338" s="248"/>
    </row>
    <row r="339" ht="15.75" customHeight="1">
      <c r="A339" s="248"/>
      <c r="B339" s="248"/>
      <c r="C339" s="248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  <c r="N339" s="248"/>
      <c r="O339" s="249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  <c r="AA339" s="248"/>
    </row>
    <row r="340" ht="15.75" customHeight="1">
      <c r="A340" s="248"/>
      <c r="B340" s="248"/>
      <c r="C340" s="248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8"/>
      <c r="O340" s="249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  <c r="AA340" s="248"/>
    </row>
    <row r="341" ht="15.75" customHeight="1">
      <c r="A341" s="248"/>
      <c r="B341" s="248"/>
      <c r="C341" s="248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  <c r="N341" s="248"/>
      <c r="O341" s="249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  <c r="AA341" s="248"/>
    </row>
    <row r="342" ht="15.75" customHeight="1">
      <c r="A342" s="248"/>
      <c r="B342" s="248"/>
      <c r="C342" s="248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  <c r="N342" s="248"/>
      <c r="O342" s="249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  <c r="AA342" s="248"/>
    </row>
    <row r="343" ht="15.75" customHeight="1">
      <c r="A343" s="248"/>
      <c r="B343" s="248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9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  <c r="AA343" s="248"/>
    </row>
    <row r="344" ht="15.75" customHeight="1">
      <c r="A344" s="248"/>
      <c r="B344" s="248"/>
      <c r="C344" s="248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  <c r="N344" s="248"/>
      <c r="O344" s="249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  <c r="AA344" s="248"/>
    </row>
    <row r="345" ht="15.75" customHeight="1">
      <c r="A345" s="248"/>
      <c r="B345" s="248"/>
      <c r="C345" s="248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  <c r="N345" s="248"/>
      <c r="O345" s="249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  <c r="AA345" s="248"/>
    </row>
    <row r="346" ht="15.75" customHeight="1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9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  <c r="AA346" s="248"/>
    </row>
    <row r="347" ht="15.75" customHeight="1">
      <c r="A347" s="248"/>
      <c r="B347" s="248"/>
      <c r="C347" s="248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  <c r="N347" s="248"/>
      <c r="O347" s="249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  <c r="AA347" s="248"/>
    </row>
    <row r="348" ht="15.75" customHeight="1">
      <c r="A348" s="248"/>
      <c r="B348" s="248"/>
      <c r="C348" s="248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  <c r="N348" s="248"/>
      <c r="O348" s="249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  <c r="AA348" s="248"/>
    </row>
    <row r="349" ht="15.75" customHeight="1">
      <c r="A349" s="248"/>
      <c r="B349" s="248"/>
      <c r="C349" s="248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  <c r="N349" s="248"/>
      <c r="O349" s="249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  <c r="AA349" s="248"/>
    </row>
    <row r="350" ht="15.75" customHeight="1">
      <c r="A350" s="248"/>
      <c r="B350" s="248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9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  <c r="AA350" s="248"/>
    </row>
    <row r="351" ht="15.75" customHeight="1">
      <c r="A351" s="248"/>
      <c r="B351" s="248"/>
      <c r="C351" s="248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  <c r="N351" s="248"/>
      <c r="O351" s="249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  <c r="AA351" s="248"/>
    </row>
    <row r="352" ht="15.75" customHeight="1">
      <c r="A352" s="248"/>
      <c r="B352" s="248"/>
      <c r="C352" s="248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  <c r="N352" s="248"/>
      <c r="O352" s="249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  <c r="AA352" s="248"/>
    </row>
    <row r="353" ht="15.75" customHeight="1">
      <c r="A353" s="248"/>
      <c r="B353" s="248"/>
      <c r="C353" s="248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  <c r="N353" s="248"/>
      <c r="O353" s="249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  <c r="AA353" s="248"/>
    </row>
    <row r="354" ht="15.75" customHeight="1">
      <c r="A354" s="248"/>
      <c r="B354" s="248"/>
      <c r="C354" s="248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  <c r="N354" s="248"/>
      <c r="O354" s="249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  <c r="AA354" s="248"/>
    </row>
    <row r="355" ht="15.75" customHeight="1">
      <c r="A355" s="248"/>
      <c r="B355" s="248"/>
      <c r="C355" s="248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  <c r="N355" s="248"/>
      <c r="O355" s="249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  <c r="AA355" s="248"/>
    </row>
    <row r="356" ht="15.75" customHeight="1">
      <c r="A356" s="248"/>
      <c r="B356" s="248"/>
      <c r="C356" s="248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  <c r="N356" s="248"/>
      <c r="O356" s="249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  <c r="AA356" s="248"/>
    </row>
    <row r="357" ht="15.75" customHeight="1">
      <c r="A357" s="248"/>
      <c r="B357" s="248"/>
      <c r="C357" s="248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  <c r="N357" s="248"/>
      <c r="O357" s="249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  <c r="AA357" s="248"/>
    </row>
    <row r="358" ht="15.75" customHeight="1">
      <c r="A358" s="248"/>
      <c r="B358" s="248"/>
      <c r="C358" s="248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  <c r="N358" s="248"/>
      <c r="O358" s="249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  <c r="AA358" s="248"/>
    </row>
    <row r="359" ht="15.75" customHeight="1">
      <c r="A359" s="248"/>
      <c r="B359" s="248"/>
      <c r="C359" s="248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  <c r="N359" s="248"/>
      <c r="O359" s="249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  <c r="AA359" s="248"/>
    </row>
    <row r="360" ht="15.75" customHeight="1">
      <c r="A360" s="248"/>
      <c r="B360" s="248"/>
      <c r="C360" s="248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  <c r="N360" s="248"/>
      <c r="O360" s="249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  <c r="AA360" s="248"/>
    </row>
    <row r="361" ht="15.75" customHeight="1">
      <c r="A361" s="248"/>
      <c r="B361" s="248"/>
      <c r="C361" s="248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  <c r="N361" s="248"/>
      <c r="O361" s="249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  <c r="AA361" s="248"/>
    </row>
    <row r="362" ht="15.75" customHeight="1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9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</row>
    <row r="363" ht="15.75" customHeight="1">
      <c r="A363" s="248"/>
      <c r="B363" s="248"/>
      <c r="C363" s="248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  <c r="N363" s="248"/>
      <c r="O363" s="249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  <c r="AA363" s="248"/>
    </row>
    <row r="364" ht="15.75" customHeight="1">
      <c r="A364" s="248"/>
      <c r="B364" s="248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9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  <c r="AA364" s="248"/>
    </row>
    <row r="365" ht="15.75" customHeight="1">
      <c r="A365" s="248"/>
      <c r="B365" s="248"/>
      <c r="C365" s="248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  <c r="N365" s="248"/>
      <c r="O365" s="249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  <c r="AA365" s="248"/>
    </row>
    <row r="366" ht="15.75" customHeight="1">
      <c r="A366" s="248"/>
      <c r="B366" s="248"/>
      <c r="C366" s="248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  <c r="N366" s="248"/>
      <c r="O366" s="249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  <c r="AA366" s="248"/>
    </row>
    <row r="367" ht="15.75" customHeight="1">
      <c r="A367" s="248"/>
      <c r="B367" s="248"/>
      <c r="C367" s="248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  <c r="N367" s="248"/>
      <c r="O367" s="249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  <c r="AA367" s="248"/>
    </row>
    <row r="368" ht="15.75" customHeight="1">
      <c r="A368" s="248"/>
      <c r="B368" s="248"/>
      <c r="C368" s="248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  <c r="N368" s="248"/>
      <c r="O368" s="249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  <c r="AA368" s="248"/>
    </row>
    <row r="369" ht="15.75" customHeight="1">
      <c r="A369" s="248"/>
      <c r="B369" s="248"/>
      <c r="C369" s="248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  <c r="N369" s="248"/>
      <c r="O369" s="249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  <c r="AA369" s="248"/>
    </row>
    <row r="370" ht="15.75" customHeight="1">
      <c r="A370" s="248"/>
      <c r="B370" s="248"/>
      <c r="C370" s="248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  <c r="N370" s="248"/>
      <c r="O370" s="249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  <c r="AA370" s="248"/>
    </row>
    <row r="371" ht="15.75" customHeight="1">
      <c r="A371" s="248"/>
      <c r="B371" s="248"/>
      <c r="C371" s="248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  <c r="N371" s="248"/>
      <c r="O371" s="249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  <c r="AA371" s="248"/>
    </row>
    <row r="372" ht="15.75" customHeight="1">
      <c r="A372" s="248"/>
      <c r="B372" s="248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48"/>
      <c r="O372" s="249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  <c r="AA372" s="248"/>
    </row>
    <row r="373" ht="15.75" customHeight="1">
      <c r="A373" s="248"/>
      <c r="B373" s="248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9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  <c r="AA373" s="248"/>
    </row>
    <row r="374" ht="15.75" customHeight="1">
      <c r="A374" s="248"/>
      <c r="B374" s="248"/>
      <c r="C374" s="248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  <c r="N374" s="248"/>
      <c r="O374" s="249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  <c r="AA374" s="248"/>
    </row>
    <row r="375" ht="15.75" customHeight="1">
      <c r="A375" s="248"/>
      <c r="B375" s="248"/>
      <c r="C375" s="248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  <c r="N375" s="248"/>
      <c r="O375" s="249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  <c r="AA375" s="248"/>
    </row>
    <row r="376" ht="15.75" customHeight="1">
      <c r="A376" s="248"/>
      <c r="B376" s="248"/>
      <c r="C376" s="248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  <c r="N376" s="248"/>
      <c r="O376" s="249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  <c r="AA376" s="248"/>
    </row>
    <row r="377" ht="15.75" customHeight="1">
      <c r="A377" s="248"/>
      <c r="B377" s="248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9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  <c r="AA377" s="248"/>
    </row>
    <row r="378" ht="15.75" customHeight="1">
      <c r="A378" s="248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9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  <c r="AA378" s="248"/>
    </row>
    <row r="379" ht="15.75" customHeight="1">
      <c r="A379" s="248"/>
      <c r="B379" s="248"/>
      <c r="C379" s="248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  <c r="N379" s="248"/>
      <c r="O379" s="249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  <c r="AA379" s="248"/>
    </row>
    <row r="380" ht="15.75" customHeight="1">
      <c r="A380" s="248"/>
      <c r="B380" s="248"/>
      <c r="C380" s="248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  <c r="N380" s="248"/>
      <c r="O380" s="249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  <c r="AA380" s="248"/>
    </row>
    <row r="381" ht="15.75" customHeight="1">
      <c r="A381" s="248"/>
      <c r="B381" s="248"/>
      <c r="C381" s="248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  <c r="N381" s="248"/>
      <c r="O381" s="249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  <c r="AA381" s="248"/>
    </row>
    <row r="382" ht="15.75" customHeight="1">
      <c r="A382" s="248"/>
      <c r="B382" s="248"/>
      <c r="C382" s="248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  <c r="N382" s="248"/>
      <c r="O382" s="249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  <c r="AA382" s="248"/>
    </row>
    <row r="383" ht="15.75" customHeight="1">
      <c r="A383" s="248"/>
      <c r="B383" s="248"/>
      <c r="C383" s="248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  <c r="N383" s="248"/>
      <c r="O383" s="249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  <c r="AA383" s="248"/>
    </row>
    <row r="384" ht="15.75" customHeight="1">
      <c r="A384" s="248"/>
      <c r="B384" s="248"/>
      <c r="C384" s="248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  <c r="N384" s="248"/>
      <c r="O384" s="249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  <c r="AA384" s="248"/>
    </row>
    <row r="385" ht="15.75" customHeight="1">
      <c r="A385" s="248"/>
      <c r="B385" s="248"/>
      <c r="C385" s="248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  <c r="N385" s="248"/>
      <c r="O385" s="249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  <c r="AA385" s="248"/>
    </row>
    <row r="386" ht="15.75" customHeight="1">
      <c r="A386" s="248"/>
      <c r="B386" s="248"/>
      <c r="C386" s="248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  <c r="N386" s="248"/>
      <c r="O386" s="249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  <c r="AA386" s="248"/>
    </row>
    <row r="387" ht="15.75" customHeight="1">
      <c r="A387" s="248"/>
      <c r="B387" s="248"/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9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  <c r="AA387" s="248"/>
    </row>
    <row r="388" ht="15.75" customHeight="1">
      <c r="A388" s="248"/>
      <c r="B388" s="248"/>
      <c r="C388" s="248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  <c r="N388" s="248"/>
      <c r="O388" s="249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  <c r="AA388" s="248"/>
    </row>
    <row r="389" ht="15.75" customHeight="1">
      <c r="A389" s="248"/>
      <c r="B389" s="248"/>
      <c r="C389" s="248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  <c r="N389" s="248"/>
      <c r="O389" s="249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  <c r="AA389" s="248"/>
    </row>
    <row r="390" ht="15.75" customHeight="1">
      <c r="A390" s="248"/>
      <c r="B390" s="248"/>
      <c r="C390" s="248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  <c r="N390" s="248"/>
      <c r="O390" s="249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  <c r="AA390" s="248"/>
    </row>
    <row r="391" ht="15.75" customHeight="1">
      <c r="A391" s="248"/>
      <c r="B391" s="248"/>
      <c r="C391" s="248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  <c r="N391" s="248"/>
      <c r="O391" s="249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  <c r="AA391" s="248"/>
    </row>
    <row r="392" ht="15.75" customHeight="1">
      <c r="A392" s="248"/>
      <c r="B392" s="248"/>
      <c r="C392" s="248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  <c r="N392" s="248"/>
      <c r="O392" s="249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  <c r="AA392" s="248"/>
    </row>
    <row r="393" ht="15.75" customHeight="1">
      <c r="A393" s="248"/>
      <c r="B393" s="248"/>
      <c r="C393" s="248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  <c r="N393" s="248"/>
      <c r="O393" s="249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  <c r="AA393" s="248"/>
    </row>
    <row r="394" ht="15.75" customHeight="1">
      <c r="A394" s="248"/>
      <c r="B394" s="248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9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  <c r="AA394" s="248"/>
    </row>
    <row r="395" ht="15.75" customHeight="1">
      <c r="A395" s="248"/>
      <c r="B395" s="248"/>
      <c r="C395" s="248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  <c r="N395" s="248"/>
      <c r="O395" s="249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  <c r="AA395" s="248"/>
    </row>
    <row r="396" ht="15.75" customHeight="1">
      <c r="A396" s="248"/>
      <c r="B396" s="248"/>
      <c r="C396" s="248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  <c r="N396" s="248"/>
      <c r="O396" s="249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  <c r="AA396" s="248"/>
    </row>
    <row r="397" ht="15.75" customHeight="1">
      <c r="A397" s="248"/>
      <c r="B397" s="248"/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9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  <c r="AA397" s="248"/>
    </row>
    <row r="398" ht="15.75" customHeight="1">
      <c r="A398" s="248"/>
      <c r="B398" s="248"/>
      <c r="C398" s="248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  <c r="N398" s="248"/>
      <c r="O398" s="249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  <c r="AA398" s="248"/>
    </row>
    <row r="399" ht="15.75" customHeight="1">
      <c r="A399" s="248"/>
      <c r="B399" s="248"/>
      <c r="C399" s="248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  <c r="N399" s="248"/>
      <c r="O399" s="249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  <c r="AA399" s="248"/>
    </row>
    <row r="400" ht="15.75" customHeight="1">
      <c r="A400" s="248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9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  <c r="AA400" s="248"/>
    </row>
    <row r="401" ht="15.75" customHeight="1">
      <c r="A401" s="248"/>
      <c r="B401" s="248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9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  <c r="AA401" s="248"/>
    </row>
    <row r="402" ht="15.75" customHeight="1">
      <c r="A402" s="248"/>
      <c r="B402" s="248"/>
      <c r="C402" s="248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  <c r="N402" s="248"/>
      <c r="O402" s="249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  <c r="AA402" s="248"/>
    </row>
    <row r="403" ht="15.75" customHeight="1">
      <c r="A403" s="248"/>
      <c r="B403" s="248"/>
      <c r="C403" s="248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  <c r="N403" s="248"/>
      <c r="O403" s="249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  <c r="AA403" s="248"/>
    </row>
    <row r="404" ht="15.75" customHeight="1">
      <c r="A404" s="248"/>
      <c r="B404" s="248"/>
      <c r="C404" s="248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  <c r="N404" s="248"/>
      <c r="O404" s="249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  <c r="AA404" s="248"/>
    </row>
    <row r="405" ht="15.75" customHeight="1">
      <c r="A405" s="248"/>
      <c r="B405" s="248"/>
      <c r="C405" s="248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  <c r="N405" s="248"/>
      <c r="O405" s="249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  <c r="AA405" s="248"/>
    </row>
    <row r="406" ht="15.75" customHeight="1">
      <c r="A406" s="248"/>
      <c r="B406" s="248"/>
      <c r="C406" s="248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  <c r="N406" s="248"/>
      <c r="O406" s="249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  <c r="AA406" s="248"/>
    </row>
    <row r="407" ht="15.75" customHeight="1">
      <c r="A407" s="248"/>
      <c r="B407" s="248"/>
      <c r="C407" s="248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  <c r="N407" s="248"/>
      <c r="O407" s="249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  <c r="AA407" s="248"/>
    </row>
    <row r="408" ht="15.75" customHeight="1">
      <c r="A408" s="248"/>
      <c r="B408" s="248"/>
      <c r="C408" s="248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  <c r="N408" s="248"/>
      <c r="O408" s="249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  <c r="AA408" s="248"/>
    </row>
    <row r="409" ht="15.75" customHeight="1">
      <c r="A409" s="248"/>
      <c r="B409" s="248"/>
      <c r="C409" s="248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  <c r="N409" s="248"/>
      <c r="O409" s="249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  <c r="AA409" s="248"/>
    </row>
    <row r="410" ht="15.75" customHeight="1">
      <c r="A410" s="248"/>
      <c r="B410" s="248"/>
      <c r="C410" s="248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  <c r="N410" s="248"/>
      <c r="O410" s="249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  <c r="AA410" s="248"/>
    </row>
    <row r="411" ht="15.75" customHeight="1">
      <c r="A411" s="248"/>
      <c r="B411" s="248"/>
      <c r="C411" s="248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  <c r="N411" s="248"/>
      <c r="O411" s="249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  <c r="AA411" s="248"/>
    </row>
    <row r="412" ht="15.75" customHeight="1">
      <c r="A412" s="248"/>
      <c r="B412" s="248"/>
      <c r="C412" s="248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  <c r="N412" s="248"/>
      <c r="O412" s="249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  <c r="AA412" s="248"/>
    </row>
    <row r="413" ht="15.75" customHeight="1">
      <c r="A413" s="248"/>
      <c r="B413" s="248"/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9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  <c r="AA413" s="248"/>
    </row>
    <row r="414" ht="15.75" customHeight="1">
      <c r="A414" s="248"/>
      <c r="B414" s="248"/>
      <c r="C414" s="248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  <c r="N414" s="248"/>
      <c r="O414" s="249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  <c r="AA414" s="248"/>
    </row>
    <row r="415" ht="15.75" customHeight="1">
      <c r="A415" s="248"/>
      <c r="B415" s="248"/>
      <c r="C415" s="248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  <c r="N415" s="248"/>
      <c r="O415" s="249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  <c r="AA415" s="248"/>
    </row>
    <row r="416" ht="15.75" customHeight="1">
      <c r="A416" s="248"/>
      <c r="B416" s="248"/>
      <c r="C416" s="248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  <c r="N416" s="248"/>
      <c r="O416" s="249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  <c r="AA416" s="248"/>
    </row>
    <row r="417" ht="15.75" customHeight="1">
      <c r="A417" s="248"/>
      <c r="B417" s="248"/>
      <c r="C417" s="248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  <c r="N417" s="248"/>
      <c r="O417" s="249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  <c r="AA417" s="248"/>
    </row>
    <row r="418" ht="15.75" customHeight="1">
      <c r="A418" s="248"/>
      <c r="B418" s="248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9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  <c r="AA418" s="248"/>
    </row>
    <row r="419" ht="15.75" customHeight="1">
      <c r="A419" s="248"/>
      <c r="B419" s="248"/>
      <c r="C419" s="248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  <c r="N419" s="248"/>
      <c r="O419" s="249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  <c r="AA419" s="248"/>
    </row>
    <row r="420" ht="15.75" customHeight="1">
      <c r="A420" s="248"/>
      <c r="B420" s="248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9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  <c r="AA420" s="248"/>
    </row>
    <row r="421" ht="15.75" customHeight="1">
      <c r="A421" s="248"/>
      <c r="B421" s="248"/>
      <c r="C421" s="248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  <c r="N421" s="248"/>
      <c r="O421" s="249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  <c r="AA421" s="248"/>
    </row>
    <row r="422" ht="15.75" customHeight="1">
      <c r="A422" s="248"/>
      <c r="B422" s="248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9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  <c r="AA422" s="248"/>
    </row>
    <row r="423" ht="15.75" customHeight="1">
      <c r="A423" s="248"/>
      <c r="B423" s="248"/>
      <c r="C423" s="248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  <c r="N423" s="248"/>
      <c r="O423" s="249"/>
      <c r="P423" s="248"/>
      <c r="Q423" s="248"/>
      <c r="R423" s="248"/>
      <c r="S423" s="248"/>
      <c r="T423" s="248"/>
      <c r="U423" s="248"/>
      <c r="V423" s="248"/>
      <c r="W423" s="248"/>
      <c r="X423" s="248"/>
      <c r="Y423" s="248"/>
      <c r="Z423" s="248"/>
      <c r="AA423" s="248"/>
    </row>
    <row r="424" ht="15.75" customHeight="1">
      <c r="A424" s="248"/>
      <c r="B424" s="248"/>
      <c r="C424" s="248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  <c r="N424" s="248"/>
      <c r="O424" s="249"/>
      <c r="P424" s="248"/>
      <c r="Q424" s="248"/>
      <c r="R424" s="248"/>
      <c r="S424" s="248"/>
      <c r="T424" s="248"/>
      <c r="U424" s="248"/>
      <c r="V424" s="248"/>
      <c r="W424" s="248"/>
      <c r="X424" s="248"/>
      <c r="Y424" s="248"/>
      <c r="Z424" s="248"/>
      <c r="AA424" s="248"/>
    </row>
    <row r="425" ht="15.75" customHeight="1">
      <c r="A425" s="248"/>
      <c r="B425" s="248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9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  <c r="AA425" s="248"/>
    </row>
    <row r="426" ht="15.75" customHeight="1">
      <c r="A426" s="248"/>
      <c r="B426" s="248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48"/>
      <c r="O426" s="249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  <c r="AA426" s="248"/>
    </row>
    <row r="427" ht="15.75" customHeight="1">
      <c r="A427" s="248"/>
      <c r="B427" s="248"/>
      <c r="C427" s="248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  <c r="N427" s="248"/>
      <c r="O427" s="249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  <c r="AA427" s="248"/>
    </row>
    <row r="428" ht="15.75" customHeight="1">
      <c r="A428" s="248"/>
      <c r="B428" s="248"/>
      <c r="C428" s="248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  <c r="N428" s="248"/>
      <c r="O428" s="249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  <c r="AA428" s="248"/>
    </row>
    <row r="429" ht="15.75" customHeight="1">
      <c r="A429" s="248"/>
      <c r="B429" s="248"/>
      <c r="C429" s="248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  <c r="N429" s="248"/>
      <c r="O429" s="249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  <c r="AA429" s="248"/>
    </row>
    <row r="430" ht="15.75" customHeight="1">
      <c r="A430" s="248"/>
      <c r="B430" s="248"/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9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  <c r="AA430" s="248"/>
    </row>
    <row r="431" ht="15.75" customHeight="1">
      <c r="A431" s="248"/>
      <c r="B431" s="248"/>
      <c r="C431" s="248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  <c r="N431" s="248"/>
      <c r="O431" s="249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  <c r="AA431" s="248"/>
    </row>
    <row r="432" ht="15.75" customHeight="1">
      <c r="A432" s="248"/>
      <c r="B432" s="248"/>
      <c r="C432" s="248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  <c r="N432" s="248"/>
      <c r="O432" s="249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  <c r="AA432" s="248"/>
    </row>
    <row r="433" ht="15.75" customHeight="1">
      <c r="A433" s="248"/>
      <c r="B433" s="248"/>
      <c r="C433" s="248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  <c r="N433" s="248"/>
      <c r="O433" s="249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  <c r="AA433" s="248"/>
    </row>
    <row r="434" ht="15.75" customHeight="1">
      <c r="A434" s="248"/>
      <c r="B434" s="248"/>
      <c r="C434" s="248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  <c r="N434" s="248"/>
      <c r="O434" s="249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  <c r="AA434" s="248"/>
    </row>
    <row r="435" ht="15.75" customHeight="1">
      <c r="A435" s="248"/>
      <c r="B435" s="248"/>
      <c r="C435" s="248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  <c r="N435" s="248"/>
      <c r="O435" s="249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  <c r="AA435" s="248"/>
    </row>
    <row r="436" ht="15.75" customHeight="1">
      <c r="A436" s="248"/>
      <c r="B436" s="248"/>
      <c r="C436" s="248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  <c r="N436" s="248"/>
      <c r="O436" s="249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  <c r="AA436" s="248"/>
    </row>
    <row r="437" ht="15.75" customHeight="1">
      <c r="A437" s="248"/>
      <c r="B437" s="248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9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  <c r="AA437" s="248"/>
    </row>
    <row r="438" ht="15.75" customHeight="1">
      <c r="A438" s="248"/>
      <c r="B438" s="248"/>
      <c r="C438" s="248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  <c r="N438" s="248"/>
      <c r="O438" s="249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  <c r="AA438" s="248"/>
    </row>
    <row r="439" ht="15.75" customHeight="1">
      <c r="A439" s="248"/>
      <c r="B439" s="248"/>
      <c r="C439" s="248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48"/>
      <c r="O439" s="249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  <c r="AA439" s="248"/>
    </row>
    <row r="440" ht="15.75" customHeight="1">
      <c r="A440" s="248"/>
      <c r="B440" s="248"/>
      <c r="C440" s="248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  <c r="N440" s="248"/>
      <c r="O440" s="249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  <c r="AA440" s="248"/>
    </row>
    <row r="441" ht="15.75" customHeight="1">
      <c r="A441" s="248"/>
      <c r="B441" s="248"/>
      <c r="C441" s="248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  <c r="N441" s="248"/>
      <c r="O441" s="249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  <c r="AA441" s="248"/>
    </row>
    <row r="442" ht="15.75" customHeight="1">
      <c r="A442" s="248"/>
      <c r="B442" s="248"/>
      <c r="C442" s="248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  <c r="N442" s="248"/>
      <c r="O442" s="249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  <c r="AA442" s="248"/>
    </row>
    <row r="443" ht="15.75" customHeight="1">
      <c r="A443" s="248"/>
      <c r="B443" s="248"/>
      <c r="C443" s="248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  <c r="N443" s="248"/>
      <c r="O443" s="249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  <c r="AA443" s="248"/>
    </row>
    <row r="444" ht="15.75" customHeight="1">
      <c r="A444" s="248"/>
      <c r="B444" s="248"/>
      <c r="C444" s="248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  <c r="N444" s="248"/>
      <c r="O444" s="249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  <c r="AA444" s="248"/>
    </row>
    <row r="445" ht="15.75" customHeight="1">
      <c r="A445" s="248"/>
      <c r="B445" s="248"/>
      <c r="C445" s="248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  <c r="N445" s="248"/>
      <c r="O445" s="249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  <c r="AA445" s="248"/>
    </row>
    <row r="446" ht="15.75" customHeight="1">
      <c r="A446" s="248"/>
      <c r="B446" s="248"/>
      <c r="C446" s="248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  <c r="N446" s="248"/>
      <c r="O446" s="249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  <c r="AA446" s="248"/>
    </row>
    <row r="447" ht="15.75" customHeight="1">
      <c r="A447" s="248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9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  <c r="AA447" s="248"/>
    </row>
    <row r="448" ht="15.75" customHeight="1">
      <c r="A448" s="248"/>
      <c r="B448" s="248"/>
      <c r="C448" s="248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  <c r="N448" s="248"/>
      <c r="O448" s="249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  <c r="AA448" s="248"/>
    </row>
    <row r="449" ht="15.75" customHeight="1">
      <c r="A449" s="248"/>
      <c r="B449" s="248"/>
      <c r="C449" s="248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  <c r="N449" s="248"/>
      <c r="O449" s="249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  <c r="AA449" s="248"/>
    </row>
    <row r="450" ht="15.75" customHeight="1">
      <c r="A450" s="248"/>
      <c r="B450" s="248"/>
      <c r="C450" s="248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  <c r="N450" s="248"/>
      <c r="O450" s="249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  <c r="AA450" s="248"/>
    </row>
    <row r="451" ht="15.75" customHeight="1">
      <c r="A451" s="248"/>
      <c r="B451" s="248"/>
      <c r="C451" s="248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  <c r="N451" s="248"/>
      <c r="O451" s="249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  <c r="AA451" s="248"/>
    </row>
    <row r="452" ht="15.75" customHeight="1">
      <c r="A452" s="248"/>
      <c r="B452" s="248"/>
      <c r="C452" s="248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  <c r="N452" s="248"/>
      <c r="O452" s="249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  <c r="AA452" s="248"/>
    </row>
    <row r="453" ht="15.75" customHeight="1">
      <c r="A453" s="248"/>
      <c r="B453" s="248"/>
      <c r="C453" s="248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  <c r="N453" s="248"/>
      <c r="O453" s="249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  <c r="AA453" s="248"/>
    </row>
    <row r="454" ht="15.75" customHeight="1">
      <c r="A454" s="248"/>
      <c r="B454" s="248"/>
      <c r="C454" s="248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  <c r="N454" s="248"/>
      <c r="O454" s="249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  <c r="AA454" s="248"/>
    </row>
    <row r="455" ht="15.75" customHeight="1">
      <c r="A455" s="248"/>
      <c r="B455" s="248"/>
      <c r="C455" s="248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  <c r="N455" s="248"/>
      <c r="O455" s="249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  <c r="AA455" s="248"/>
    </row>
    <row r="456" ht="15.75" customHeight="1">
      <c r="A456" s="248"/>
      <c r="B456" s="248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9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  <c r="AA456" s="248"/>
    </row>
    <row r="457" ht="15.75" customHeight="1">
      <c r="A457" s="248"/>
      <c r="B457" s="248"/>
      <c r="C457" s="248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  <c r="N457" s="248"/>
      <c r="O457" s="249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  <c r="AA457" s="248"/>
    </row>
    <row r="458" ht="15.75" customHeight="1">
      <c r="A458" s="248"/>
      <c r="B458" s="248"/>
      <c r="C458" s="248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  <c r="N458" s="248"/>
      <c r="O458" s="249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  <c r="AA458" s="248"/>
    </row>
    <row r="459" ht="15.75" customHeight="1">
      <c r="A459" s="248"/>
      <c r="B459" s="248"/>
      <c r="C459" s="248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  <c r="N459" s="248"/>
      <c r="O459" s="249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  <c r="AA459" s="248"/>
    </row>
    <row r="460" ht="15.75" customHeight="1">
      <c r="A460" s="248"/>
      <c r="B460" s="248"/>
      <c r="C460" s="248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  <c r="N460" s="248"/>
      <c r="O460" s="249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  <c r="AA460" s="248"/>
    </row>
    <row r="461" ht="15.75" customHeight="1">
      <c r="A461" s="248"/>
      <c r="B461" s="248"/>
      <c r="C461" s="248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  <c r="N461" s="248"/>
      <c r="O461" s="249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  <c r="AA461" s="248"/>
    </row>
    <row r="462" ht="15.75" customHeight="1">
      <c r="A462" s="248"/>
      <c r="B462" s="248"/>
      <c r="C462" s="248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  <c r="N462" s="248"/>
      <c r="O462" s="249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  <c r="AA462" s="248"/>
    </row>
    <row r="463" ht="15.75" customHeight="1">
      <c r="A463" s="248"/>
      <c r="B463" s="248"/>
      <c r="C463" s="248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  <c r="N463" s="248"/>
      <c r="O463" s="249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  <c r="AA463" s="248"/>
    </row>
    <row r="464" ht="15.75" customHeight="1">
      <c r="A464" s="248"/>
      <c r="B464" s="248"/>
      <c r="C464" s="248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  <c r="N464" s="248"/>
      <c r="O464" s="249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  <c r="AA464" s="248"/>
    </row>
    <row r="465" ht="15.75" customHeight="1">
      <c r="A465" s="248"/>
      <c r="B465" s="248"/>
      <c r="C465" s="248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  <c r="N465" s="248"/>
      <c r="O465" s="249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  <c r="AA465" s="248"/>
    </row>
    <row r="466" ht="15.75" customHeight="1">
      <c r="A466" s="248"/>
      <c r="B466" s="248"/>
      <c r="C466" s="248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  <c r="N466" s="248"/>
      <c r="O466" s="249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  <c r="AA466" s="248"/>
    </row>
    <row r="467" ht="15.75" customHeight="1">
      <c r="A467" s="248"/>
      <c r="B467" s="248"/>
      <c r="C467" s="248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  <c r="N467" s="248"/>
      <c r="O467" s="249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  <c r="AA467" s="248"/>
    </row>
    <row r="468" ht="15.75" customHeight="1">
      <c r="A468" s="248"/>
      <c r="B468" s="248"/>
      <c r="C468" s="248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  <c r="N468" s="248"/>
      <c r="O468" s="249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  <c r="AA468" s="248"/>
    </row>
    <row r="469" ht="15.75" customHeight="1">
      <c r="A469" s="248"/>
      <c r="B469" s="248"/>
      <c r="C469" s="248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  <c r="N469" s="248"/>
      <c r="O469" s="249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  <c r="AA469" s="248"/>
    </row>
    <row r="470" ht="15.75" customHeight="1">
      <c r="A470" s="248"/>
      <c r="B470" s="248"/>
      <c r="C470" s="248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  <c r="N470" s="248"/>
      <c r="O470" s="249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  <c r="AA470" s="248"/>
    </row>
    <row r="471" ht="15.75" customHeight="1">
      <c r="A471" s="248"/>
      <c r="B471" s="248"/>
      <c r="C471" s="248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  <c r="N471" s="248"/>
      <c r="O471" s="249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  <c r="AA471" s="248"/>
    </row>
    <row r="472" ht="15.75" customHeight="1">
      <c r="A472" s="248"/>
      <c r="B472" s="248"/>
      <c r="C472" s="248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  <c r="N472" s="248"/>
      <c r="O472" s="249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  <c r="AA472" s="248"/>
    </row>
    <row r="473" ht="15.75" customHeight="1">
      <c r="A473" s="248"/>
      <c r="B473" s="248"/>
      <c r="C473" s="248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  <c r="N473" s="248"/>
      <c r="O473" s="249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  <c r="AA473" s="248"/>
    </row>
    <row r="474" ht="15.75" customHeight="1">
      <c r="A474" s="248"/>
      <c r="B474" s="248"/>
      <c r="C474" s="248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  <c r="N474" s="248"/>
      <c r="O474" s="249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  <c r="AA474" s="248"/>
    </row>
    <row r="475" ht="15.75" customHeight="1">
      <c r="A475" s="248"/>
      <c r="B475" s="248"/>
      <c r="C475" s="248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  <c r="N475" s="248"/>
      <c r="O475" s="249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  <c r="AA475" s="248"/>
    </row>
    <row r="476" ht="15.75" customHeight="1">
      <c r="A476" s="248"/>
      <c r="B476" s="248"/>
      <c r="C476" s="248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  <c r="N476" s="248"/>
      <c r="O476" s="249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  <c r="AA476" s="248"/>
    </row>
    <row r="477" ht="15.75" customHeight="1">
      <c r="A477" s="248"/>
      <c r="B477" s="248"/>
      <c r="C477" s="248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  <c r="N477" s="248"/>
      <c r="O477" s="249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  <c r="AA477" s="248"/>
    </row>
    <row r="478" ht="15.75" customHeight="1">
      <c r="A478" s="248"/>
      <c r="B478" s="248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9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  <c r="AA478" s="248"/>
    </row>
    <row r="479" ht="15.75" customHeight="1">
      <c r="A479" s="248"/>
      <c r="B479" s="248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48"/>
      <c r="O479" s="249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  <c r="AA479" s="248"/>
    </row>
    <row r="480" ht="15.75" customHeight="1">
      <c r="A480" s="248"/>
      <c r="B480" s="248"/>
      <c r="C480" s="248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  <c r="N480" s="248"/>
      <c r="O480" s="249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  <c r="AA480" s="248"/>
    </row>
    <row r="481" ht="15.75" customHeight="1">
      <c r="A481" s="248"/>
      <c r="B481" s="248"/>
      <c r="C481" s="248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  <c r="N481" s="248"/>
      <c r="O481" s="249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  <c r="AA481" s="248"/>
    </row>
    <row r="482" ht="15.75" customHeight="1">
      <c r="A482" s="248"/>
      <c r="B482" s="248"/>
      <c r="C482" s="248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  <c r="N482" s="248"/>
      <c r="O482" s="249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  <c r="AA482" s="248"/>
    </row>
    <row r="483" ht="15.75" customHeight="1">
      <c r="A483" s="248"/>
      <c r="B483" s="248"/>
      <c r="C483" s="248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  <c r="N483" s="248"/>
      <c r="O483" s="249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  <c r="AA483" s="248"/>
    </row>
    <row r="484" ht="15.75" customHeight="1">
      <c r="A484" s="248"/>
      <c r="B484" s="248"/>
      <c r="C484" s="248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  <c r="N484" s="248"/>
      <c r="O484" s="249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  <c r="AA484" s="248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9">
    <mergeCell ref="I2:J3"/>
    <mergeCell ref="K2:K5"/>
    <mergeCell ref="I4:I5"/>
    <mergeCell ref="J4:J5"/>
    <mergeCell ref="L2:L5"/>
    <mergeCell ref="M2:M5"/>
    <mergeCell ref="N2:N5"/>
    <mergeCell ref="P2:P5"/>
    <mergeCell ref="Q2:Q5"/>
    <mergeCell ref="R2:R5"/>
    <mergeCell ref="S2:S5"/>
    <mergeCell ref="T4:T5"/>
    <mergeCell ref="U4:U5"/>
    <mergeCell ref="T2:U3"/>
    <mergeCell ref="V2:V5"/>
    <mergeCell ref="W2:W5"/>
    <mergeCell ref="X2:X5"/>
    <mergeCell ref="Y2:Y5"/>
    <mergeCell ref="Z2:Z5"/>
    <mergeCell ref="AA2:AA5"/>
    <mergeCell ref="K1:L1"/>
    <mergeCell ref="A2:B3"/>
    <mergeCell ref="C2:D3"/>
    <mergeCell ref="E2:E5"/>
    <mergeCell ref="F2:F5"/>
    <mergeCell ref="G2:G5"/>
    <mergeCell ref="H2:H5"/>
    <mergeCell ref="A4:C4"/>
    <mergeCell ref="A5:C5"/>
    <mergeCell ref="A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A20:D20"/>
    <mergeCell ref="B21:D21"/>
    <mergeCell ref="B22:D22"/>
    <mergeCell ref="B23:D23"/>
    <mergeCell ref="B24:D24"/>
    <mergeCell ref="B25:D25"/>
    <mergeCell ref="B26:D26"/>
    <mergeCell ref="B27:D27"/>
    <mergeCell ref="B28:D28"/>
    <mergeCell ref="A31:D31"/>
    <mergeCell ref="B32:D32"/>
    <mergeCell ref="B33:D33"/>
    <mergeCell ref="B34:D34"/>
    <mergeCell ref="B35:D35"/>
    <mergeCell ref="B36:D36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A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A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A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227:D227"/>
    <mergeCell ref="B228:D228"/>
    <mergeCell ref="B229:D229"/>
    <mergeCell ref="B230:D230"/>
    <mergeCell ref="B231:D231"/>
    <mergeCell ref="B232:D232"/>
    <mergeCell ref="A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83:D283"/>
    <mergeCell ref="E283:N289"/>
    <mergeCell ref="P283:W285"/>
    <mergeCell ref="Y283:Z285"/>
    <mergeCell ref="B264:D264"/>
    <mergeCell ref="B265:D265"/>
    <mergeCell ref="B266:D266"/>
    <mergeCell ref="B267:D267"/>
    <mergeCell ref="B268:D268"/>
    <mergeCell ref="B269:D269"/>
    <mergeCell ref="B270:D270"/>
    <mergeCell ref="B178:D178"/>
    <mergeCell ref="B179:D179"/>
    <mergeCell ref="B180:D180"/>
    <mergeCell ref="B181:D181"/>
    <mergeCell ref="A184:D184"/>
    <mergeCell ref="B185:D185"/>
    <mergeCell ref="B186:D186"/>
    <mergeCell ref="B187:D187"/>
    <mergeCell ref="B188:D188"/>
    <mergeCell ref="B189:D189"/>
    <mergeCell ref="A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12:D212"/>
    <mergeCell ref="E212:G212"/>
    <mergeCell ref="P212:R212"/>
    <mergeCell ref="B203:D203"/>
    <mergeCell ref="B204:D204"/>
    <mergeCell ref="B205:D205"/>
    <mergeCell ref="B206:D206"/>
    <mergeCell ref="B207:D207"/>
    <mergeCell ref="B208:D208"/>
    <mergeCell ref="A211:D211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52.57"/>
    <col customWidth="1" min="3" max="3" width="13.14"/>
    <col customWidth="1" min="4" max="5" width="34.43"/>
    <col customWidth="1" min="6" max="22" width="33.43"/>
  </cols>
  <sheetData>
    <row r="1" ht="18.75" customHeight="1">
      <c r="A1" s="389" t="s">
        <v>285</v>
      </c>
      <c r="B1" s="63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</row>
    <row r="2" ht="27.0" customHeight="1">
      <c r="A2" s="391" t="s">
        <v>7</v>
      </c>
      <c r="B2" s="391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</row>
    <row r="3" ht="27.0" customHeight="1">
      <c r="A3" s="392" t="s">
        <v>286</v>
      </c>
      <c r="B3" s="392" t="s">
        <v>287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</row>
    <row r="4" ht="27.0" customHeight="1">
      <c r="A4" s="392" t="s">
        <v>288</v>
      </c>
      <c r="B4" s="392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</row>
    <row r="5" ht="27.0" customHeight="1">
      <c r="A5" s="392" t="s">
        <v>289</v>
      </c>
      <c r="B5" s="392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</row>
    <row r="6" ht="27.0" customHeight="1">
      <c r="A6" s="393" t="s">
        <v>290</v>
      </c>
      <c r="B6" s="394">
        <f>'CE (ООО)'!X279</f>
        <v>2198648.995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</row>
    <row r="7" ht="27.0" customHeight="1">
      <c r="A7" s="395" t="s">
        <v>291</v>
      </c>
      <c r="B7" s="394">
        <f>'CE (ООО)'!AA279</f>
        <v>94678.66484</v>
      </c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</row>
    <row r="8" ht="27.0" customHeight="1">
      <c r="A8" s="392" t="s">
        <v>292</v>
      </c>
      <c r="B8" s="394">
        <f>'CE (ООО)'!M279</f>
        <v>2582186.231</v>
      </c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</row>
    <row r="9" ht="27.0" customHeight="1">
      <c r="A9" s="392" t="s">
        <v>293</v>
      </c>
      <c r="B9" s="394">
        <f>'CE (ООО)'!M281</f>
        <v>3150267.202</v>
      </c>
      <c r="C9" s="390"/>
      <c r="D9" s="390"/>
      <c r="E9" s="390"/>
      <c r="F9" s="390"/>
      <c r="G9" s="390"/>
      <c r="H9" s="390"/>
      <c r="I9" s="390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</row>
    <row r="10" ht="27.0" customHeight="1">
      <c r="A10" s="393" t="s">
        <v>294</v>
      </c>
      <c r="B10" s="396">
        <f>(B8-B6)/B8</f>
        <v>0.148531981</v>
      </c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</row>
    <row r="11" ht="27.0" customHeight="1">
      <c r="A11" s="395" t="s">
        <v>295</v>
      </c>
      <c r="B11" s="396">
        <f>'CE (ООО)'!AA284</f>
        <v>0.9633339131</v>
      </c>
      <c r="C11" s="390"/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</row>
    <row r="12" ht="27.0" customHeight="1">
      <c r="A12" s="392" t="s">
        <v>296</v>
      </c>
      <c r="B12" s="397"/>
      <c r="C12" s="390"/>
      <c r="D12" s="390"/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</row>
    <row r="13" ht="27.0" customHeight="1">
      <c r="A13" s="392" t="s">
        <v>297</v>
      </c>
      <c r="B13" s="398"/>
      <c r="C13" s="390"/>
      <c r="D13" s="390"/>
      <c r="E13" s="390"/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</row>
    <row r="14" ht="27.0" customHeight="1">
      <c r="A14" s="392" t="s">
        <v>298</v>
      </c>
      <c r="B14" s="398"/>
      <c r="C14" s="390"/>
      <c r="D14" s="390"/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390"/>
      <c r="P14" s="390"/>
      <c r="Q14" s="390"/>
      <c r="R14" s="390"/>
      <c r="S14" s="390"/>
      <c r="T14" s="390"/>
      <c r="U14" s="390"/>
      <c r="V14" s="390"/>
    </row>
    <row r="15" ht="27.0" customHeight="1">
      <c r="A15" s="399" t="s">
        <v>299</v>
      </c>
      <c r="B15" s="397"/>
      <c r="C15" s="390"/>
      <c r="D15" s="390"/>
      <c r="E15" s="390"/>
      <c r="F15" s="390"/>
      <c r="G15" s="390"/>
      <c r="H15" s="390"/>
      <c r="I15" s="390"/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</row>
    <row r="16" ht="27.0" customHeight="1">
      <c r="A16" s="392" t="s">
        <v>300</v>
      </c>
      <c r="B16" s="397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</row>
    <row r="17" ht="27.0" customHeight="1">
      <c r="A17" s="392" t="s">
        <v>301</v>
      </c>
      <c r="B17" s="397"/>
      <c r="C17" s="390"/>
      <c r="D17" s="390"/>
      <c r="E17" s="390"/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</row>
    <row r="18" ht="27.0" customHeight="1">
      <c r="A18" s="392" t="s">
        <v>302</v>
      </c>
      <c r="B18" s="392"/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390"/>
      <c r="Q18" s="390"/>
      <c r="R18" s="390"/>
      <c r="S18" s="390"/>
      <c r="T18" s="390"/>
      <c r="U18" s="390"/>
      <c r="V18" s="390"/>
    </row>
    <row r="19" ht="27.0" customHeight="1">
      <c r="A19" s="392" t="s">
        <v>303</v>
      </c>
      <c r="B19" s="400"/>
      <c r="C19" s="390"/>
      <c r="D19" s="390"/>
      <c r="E19" s="390"/>
      <c r="F19" s="390"/>
      <c r="G19" s="390"/>
      <c r="H19" s="390"/>
      <c r="I19" s="390"/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  <c r="U19" s="390"/>
      <c r="V19" s="390"/>
    </row>
    <row r="20" ht="27.0" customHeight="1">
      <c r="A20" s="392" t="s">
        <v>304</v>
      </c>
      <c r="B20" s="401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</row>
    <row r="21" ht="27.0" customHeight="1">
      <c r="A21" s="392" t="s">
        <v>305</v>
      </c>
      <c r="B21" s="400"/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</row>
    <row r="22" ht="27.0" customHeight="1">
      <c r="A22" s="392" t="s">
        <v>306</v>
      </c>
      <c r="B22" s="400"/>
      <c r="C22" s="390"/>
      <c r="D22" s="390"/>
      <c r="E22" s="390"/>
      <c r="F22" s="390"/>
      <c r="G22" s="390"/>
      <c r="H22" s="390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  <c r="U22" s="390"/>
      <c r="V22" s="390"/>
    </row>
    <row r="23" ht="27.0" customHeight="1">
      <c r="A23" s="392" t="s">
        <v>307</v>
      </c>
      <c r="B23" s="40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</row>
    <row r="24" ht="27.0" customHeight="1">
      <c r="A24" s="392" t="s">
        <v>308</v>
      </c>
      <c r="B24" s="400"/>
      <c r="C24" s="390"/>
      <c r="D24" s="390"/>
      <c r="E24" s="390"/>
      <c r="F24" s="390"/>
      <c r="G24" s="390"/>
      <c r="H24" s="390"/>
      <c r="I24" s="390"/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  <c r="U24" s="390"/>
      <c r="V24" s="390"/>
    </row>
    <row r="25" ht="27.0" customHeight="1">
      <c r="A25" s="392" t="s">
        <v>309</v>
      </c>
      <c r="B25" s="400"/>
      <c r="C25" s="390"/>
      <c r="D25" s="390"/>
      <c r="E25" s="390"/>
      <c r="F25" s="390"/>
      <c r="G25" s="390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</row>
    <row r="26" ht="27.0" customHeight="1">
      <c r="A26" s="392" t="s">
        <v>310</v>
      </c>
      <c r="B26" s="40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</row>
    <row r="27" ht="27.0" customHeight="1">
      <c r="A27" s="392" t="s">
        <v>311</v>
      </c>
      <c r="B27" s="400"/>
      <c r="C27" s="390"/>
      <c r="D27" s="390"/>
      <c r="E27" s="390"/>
      <c r="F27" s="390"/>
      <c r="G27" s="390"/>
      <c r="H27" s="390"/>
      <c r="I27" s="390"/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</row>
    <row r="28" ht="27.0" customHeight="1">
      <c r="A28" s="392" t="s">
        <v>312</v>
      </c>
      <c r="B28" s="40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</row>
    <row r="29" ht="27.0" customHeight="1">
      <c r="A29" s="392" t="s">
        <v>313</v>
      </c>
      <c r="B29" s="400"/>
      <c r="C29" s="390"/>
      <c r="D29" s="390"/>
      <c r="E29" s="390"/>
      <c r="F29" s="390"/>
      <c r="G29" s="390"/>
      <c r="H29" s="390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90"/>
      <c r="T29" s="390"/>
      <c r="U29" s="390"/>
      <c r="V29" s="390"/>
    </row>
    <row r="30" ht="27.0" customHeight="1">
      <c r="A30" s="392" t="s">
        <v>314</v>
      </c>
      <c r="B30" s="400"/>
      <c r="C30" s="390"/>
      <c r="D30" s="390"/>
      <c r="E30" s="390"/>
      <c r="F30" s="390"/>
      <c r="G30" s="390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</row>
    <row r="31" ht="27.0" customHeight="1">
      <c r="A31" s="392" t="s">
        <v>315</v>
      </c>
      <c r="B31" s="400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</row>
    <row r="32" ht="27.0" customHeight="1">
      <c r="A32" s="392" t="s">
        <v>316</v>
      </c>
      <c r="B32" s="400"/>
      <c r="C32" s="390"/>
      <c r="D32" s="390"/>
      <c r="E32" s="390"/>
      <c r="F32" s="390"/>
      <c r="G32" s="390"/>
      <c r="H32" s="390"/>
      <c r="I32" s="390"/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</row>
    <row r="33" ht="27.0" customHeight="1">
      <c r="A33" s="392" t="s">
        <v>317</v>
      </c>
      <c r="B33" s="400"/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</row>
    <row r="34" ht="27.0" customHeight="1">
      <c r="A34" s="392" t="s">
        <v>318</v>
      </c>
      <c r="B34" s="400"/>
      <c r="C34" s="390"/>
      <c r="D34" s="390"/>
      <c r="E34" s="390"/>
      <c r="F34" s="390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0"/>
      <c r="V34" s="390"/>
    </row>
    <row r="35" ht="27.0" customHeight="1">
      <c r="A35" s="399" t="s">
        <v>319</v>
      </c>
      <c r="B35" s="400"/>
      <c r="C35" s="390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</row>
    <row r="36" ht="27.0" customHeight="1">
      <c r="A36" s="392" t="s">
        <v>300</v>
      </c>
      <c r="B36" s="400"/>
      <c r="C36" s="390"/>
      <c r="D36" s="390"/>
      <c r="E36" s="390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</row>
    <row r="37" ht="27.0" customHeight="1">
      <c r="A37" s="392" t="s">
        <v>301</v>
      </c>
      <c r="B37" s="400"/>
      <c r="C37" s="390"/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</row>
    <row r="38" ht="27.0" customHeight="1">
      <c r="A38" s="392" t="s">
        <v>302</v>
      </c>
      <c r="B38" s="400"/>
      <c r="C38" s="390"/>
      <c r="D38" s="390"/>
      <c r="E38" s="390"/>
      <c r="F38" s="390"/>
      <c r="G38" s="390"/>
      <c r="H38" s="390"/>
      <c r="I38" s="390"/>
      <c r="J38" s="390"/>
      <c r="K38" s="390"/>
      <c r="L38" s="390"/>
      <c r="M38" s="390"/>
      <c r="N38" s="390"/>
      <c r="O38" s="390"/>
      <c r="P38" s="390"/>
      <c r="Q38" s="390"/>
      <c r="R38" s="390"/>
      <c r="S38" s="390"/>
      <c r="T38" s="390"/>
      <c r="U38" s="390"/>
      <c r="V38" s="390"/>
    </row>
    <row r="39" ht="27.0" customHeight="1">
      <c r="A39" s="392" t="s">
        <v>303</v>
      </c>
      <c r="B39" s="400"/>
      <c r="C39" s="390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</row>
    <row r="40" ht="27.0" customHeight="1">
      <c r="A40" s="392" t="s">
        <v>320</v>
      </c>
      <c r="B40" s="400"/>
      <c r="C40" s="390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</row>
    <row r="41" ht="27.0" customHeight="1">
      <c r="A41" s="392" t="s">
        <v>315</v>
      </c>
      <c r="B41" s="40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</row>
    <row r="42" ht="27.0" customHeight="1">
      <c r="A42" s="392" t="s">
        <v>316</v>
      </c>
      <c r="B42" s="40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0"/>
      <c r="O42" s="390"/>
      <c r="P42" s="390"/>
      <c r="Q42" s="390"/>
      <c r="R42" s="390"/>
      <c r="S42" s="390"/>
      <c r="T42" s="390"/>
      <c r="U42" s="390"/>
      <c r="V42" s="390"/>
    </row>
    <row r="43" ht="27.0" customHeight="1">
      <c r="A43" s="392" t="s">
        <v>317</v>
      </c>
      <c r="B43" s="400"/>
      <c r="C43" s="390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</row>
    <row r="44" ht="27.0" customHeight="1">
      <c r="A44" s="392" t="s">
        <v>318</v>
      </c>
      <c r="B44" s="40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</row>
    <row r="45" ht="27.0" customHeight="1">
      <c r="A45" s="399" t="s">
        <v>321</v>
      </c>
      <c r="B45" s="40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</row>
    <row r="46" ht="27.0" customHeight="1">
      <c r="A46" s="392" t="s">
        <v>301</v>
      </c>
      <c r="B46" s="40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</row>
    <row r="47" ht="27.0" customHeight="1">
      <c r="A47" s="392" t="s">
        <v>302</v>
      </c>
      <c r="B47" s="400"/>
      <c r="C47" s="390"/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</row>
    <row r="48" ht="27.0" customHeight="1">
      <c r="A48" s="392" t="s">
        <v>303</v>
      </c>
      <c r="B48" s="400"/>
      <c r="C48" s="390"/>
      <c r="D48" s="390"/>
      <c r="E48" s="390"/>
      <c r="F48" s="390"/>
      <c r="G48" s="390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</row>
    <row r="49" ht="27.0" customHeight="1">
      <c r="A49" s="392" t="s">
        <v>322</v>
      </c>
      <c r="B49" s="400"/>
      <c r="C49" s="390"/>
      <c r="D49" s="390"/>
      <c r="E49" s="390"/>
      <c r="F49" s="390"/>
      <c r="G49" s="390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</row>
    <row r="50" ht="27.0" customHeight="1">
      <c r="A50" s="392" t="s">
        <v>323</v>
      </c>
      <c r="B50" s="400"/>
      <c r="C50" s="390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</row>
    <row r="51" ht="27.0" customHeight="1">
      <c r="A51" s="392" t="s">
        <v>324</v>
      </c>
      <c r="B51" s="400"/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</row>
    <row r="52" ht="27.0" customHeight="1">
      <c r="A52" s="392" t="s">
        <v>325</v>
      </c>
      <c r="B52" s="40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</row>
    <row r="53" ht="27.0" customHeight="1">
      <c r="A53" s="392" t="s">
        <v>315</v>
      </c>
      <c r="B53" s="40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</row>
    <row r="54" ht="27.0" customHeight="1">
      <c r="A54" s="392" t="s">
        <v>326</v>
      </c>
      <c r="B54" s="40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</row>
    <row r="55" ht="27.0" customHeight="1">
      <c r="A55" s="392" t="s">
        <v>317</v>
      </c>
      <c r="B55" s="400"/>
      <c r="C55" s="390"/>
      <c r="D55" s="390"/>
      <c r="E55" s="390"/>
      <c r="F55" s="390"/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</row>
    <row r="56" ht="27.0" customHeight="1">
      <c r="A56" s="392" t="s">
        <v>318</v>
      </c>
      <c r="B56" s="400"/>
      <c r="C56" s="390"/>
      <c r="D56" s="390"/>
      <c r="E56" s="390"/>
      <c r="F56" s="390"/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</row>
    <row r="57" ht="27.0" customHeight="1">
      <c r="A57" s="399" t="s">
        <v>312</v>
      </c>
      <c r="B57" s="400"/>
      <c r="C57" s="390"/>
      <c r="D57" s="390"/>
      <c r="E57" s="390"/>
      <c r="F57" s="390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</row>
    <row r="58" ht="27.0" customHeight="1">
      <c r="A58" s="392" t="s">
        <v>313</v>
      </c>
      <c r="B58" s="40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</row>
    <row r="59" ht="27.0" customHeight="1">
      <c r="A59" s="392" t="s">
        <v>314</v>
      </c>
      <c r="B59" s="40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</row>
    <row r="60" ht="27.0" customHeight="1">
      <c r="A60" s="392" t="s">
        <v>327</v>
      </c>
      <c r="B60" s="40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</row>
    <row r="61" ht="27.0" customHeight="1">
      <c r="A61" s="392" t="s">
        <v>328</v>
      </c>
      <c r="B61" s="40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</row>
    <row r="62" ht="27.0" customHeight="1">
      <c r="A62" s="392" t="s">
        <v>329</v>
      </c>
      <c r="B62" s="400"/>
      <c r="C62" s="390"/>
      <c r="D62" s="390"/>
      <c r="E62" s="390"/>
      <c r="F62" s="390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</row>
    <row r="63" ht="27.0" customHeight="1">
      <c r="A63" s="392" t="s">
        <v>330</v>
      </c>
      <c r="B63" s="40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</row>
    <row r="64" ht="27.0" customHeight="1">
      <c r="A64" s="392" t="s">
        <v>331</v>
      </c>
      <c r="B64" s="40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</row>
    <row r="65" ht="30.75" customHeight="1">
      <c r="A65" s="390"/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</row>
    <row r="66" ht="30.75" customHeight="1">
      <c r="A66" s="390"/>
      <c r="B66" s="390"/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</row>
    <row r="67" ht="30.75" customHeight="1">
      <c r="A67" s="390"/>
      <c r="B67" s="390"/>
      <c r="C67" s="390"/>
      <c r="D67" s="390"/>
      <c r="E67" s="390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</row>
    <row r="68" ht="30.75" customHeight="1">
      <c r="A68" s="390"/>
      <c r="B68" s="390"/>
      <c r="C68" s="390"/>
      <c r="D68" s="390"/>
      <c r="E68" s="390"/>
      <c r="F68" s="390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</row>
    <row r="69" ht="30.75" customHeight="1">
      <c r="A69" s="390"/>
      <c r="B69" s="390"/>
      <c r="C69" s="390"/>
      <c r="D69" s="390"/>
      <c r="E69" s="390"/>
      <c r="F69" s="390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</row>
    <row r="70" ht="30.75" customHeight="1">
      <c r="A70" s="390"/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</row>
    <row r="71" ht="30.75" customHeight="1">
      <c r="A71" s="390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</row>
    <row r="72" ht="30.75" customHeight="1">
      <c r="A72" s="390"/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</row>
    <row r="73" ht="30.75" customHeight="1">
      <c r="A73" s="390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</row>
    <row r="74" ht="30.75" customHeight="1">
      <c r="A74" s="390"/>
      <c r="B74" s="390"/>
      <c r="C74" s="390"/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</row>
    <row r="75" ht="30.75" customHeight="1">
      <c r="A75" s="390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</row>
    <row r="76" ht="30.75" customHeight="1">
      <c r="A76" s="390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</row>
    <row r="77" ht="30.75" customHeight="1">
      <c r="A77" s="390"/>
      <c r="B77" s="390"/>
      <c r="C77" s="390"/>
      <c r="D77" s="390"/>
      <c r="E77" s="390"/>
      <c r="F77" s="390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</row>
    <row r="78" ht="30.75" customHeight="1">
      <c r="A78" s="390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</row>
    <row r="79" ht="30.75" customHeight="1">
      <c r="A79" s="390"/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</row>
    <row r="80" ht="30.75" customHeight="1">
      <c r="A80" s="390"/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</row>
    <row r="81" ht="30.75" customHeight="1">
      <c r="A81" s="390"/>
      <c r="B81" s="390"/>
      <c r="C81" s="390"/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</row>
    <row r="82" ht="30.75" customHeight="1">
      <c r="A82" s="390"/>
      <c r="B82" s="390"/>
      <c r="C82" s="390"/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</row>
    <row r="83" ht="30.75" customHeight="1">
      <c r="A83" s="390"/>
      <c r="B83" s="390"/>
      <c r="C83" s="390"/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</row>
    <row r="84" ht="30.75" customHeight="1">
      <c r="A84" s="390"/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</row>
    <row r="85" ht="30.75" customHeight="1">
      <c r="A85" s="390"/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</row>
    <row r="86" ht="30.75" customHeight="1">
      <c r="A86" s="390"/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</row>
    <row r="87" ht="30.75" customHeight="1">
      <c r="A87" s="390"/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</row>
    <row r="88" ht="30.75" customHeight="1">
      <c r="A88" s="390"/>
      <c r="B88" s="390"/>
      <c r="C88" s="390"/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</row>
    <row r="89" ht="30.75" customHeight="1">
      <c r="A89" s="390"/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</row>
    <row r="90" ht="30.75" customHeight="1">
      <c r="A90" s="390"/>
      <c r="B90" s="390"/>
      <c r="C90" s="390"/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</row>
    <row r="91" ht="30.75" customHeight="1">
      <c r="A91" s="390"/>
      <c r="B91" s="390"/>
      <c r="C91" s="390"/>
      <c r="D91" s="390"/>
      <c r="E91" s="390"/>
      <c r="F91" s="390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</row>
    <row r="92" ht="30.75" customHeight="1">
      <c r="A92" s="390"/>
      <c r="B92" s="390"/>
      <c r="C92" s="390"/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</row>
    <row r="93" ht="30.75" customHeight="1">
      <c r="A93" s="390"/>
      <c r="B93" s="390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</row>
    <row r="94" ht="30.75" customHeight="1">
      <c r="A94" s="390"/>
      <c r="B94" s="390"/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</row>
    <row r="95" ht="30.75" customHeight="1">
      <c r="A95" s="390"/>
      <c r="B95" s="390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</row>
    <row r="96" ht="30.75" customHeight="1">
      <c r="A96" s="390"/>
      <c r="B96" s="390"/>
      <c r="C96" s="390"/>
      <c r="D96" s="390"/>
      <c r="E96" s="390"/>
      <c r="F96" s="390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</row>
    <row r="97" ht="30.75" customHeight="1">
      <c r="A97" s="390"/>
      <c r="B97" s="390"/>
      <c r="C97" s="390"/>
      <c r="D97" s="390"/>
      <c r="E97" s="390"/>
      <c r="F97" s="390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</row>
    <row r="98" ht="30.75" customHeight="1">
      <c r="A98" s="390"/>
      <c r="B98" s="390"/>
      <c r="C98" s="390"/>
      <c r="D98" s="390"/>
      <c r="E98" s="390"/>
      <c r="F98" s="390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</row>
    <row r="99" ht="30.75" customHeight="1">
      <c r="A99" s="390"/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</row>
    <row r="100" ht="30.75" customHeight="1">
      <c r="A100" s="390"/>
      <c r="B100" s="390"/>
      <c r="C100" s="390"/>
      <c r="D100" s="390"/>
      <c r="E100" s="390"/>
      <c r="F100" s="390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</row>
    <row r="101" ht="30.75" customHeight="1">
      <c r="A101" s="390"/>
      <c r="B101" s="390"/>
      <c r="C101" s="390"/>
      <c r="D101" s="390"/>
      <c r="E101" s="390"/>
      <c r="F101" s="390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</row>
    <row r="102" ht="30.75" customHeight="1">
      <c r="A102" s="390"/>
      <c r="B102" s="390"/>
      <c r="C102" s="390"/>
      <c r="D102" s="390"/>
      <c r="E102" s="390"/>
      <c r="F102" s="390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</row>
    <row r="103" ht="30.75" customHeight="1">
      <c r="A103" s="390"/>
      <c r="B103" s="390"/>
      <c r="C103" s="390"/>
      <c r="D103" s="390"/>
      <c r="E103" s="390"/>
      <c r="F103" s="390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</row>
    <row r="104" ht="30.75" customHeight="1">
      <c r="A104" s="390"/>
      <c r="B104" s="390"/>
      <c r="C104" s="390"/>
      <c r="D104" s="390"/>
      <c r="E104" s="390"/>
      <c r="F104" s="390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</row>
    <row r="105" ht="30.75" customHeight="1">
      <c r="A105" s="390"/>
      <c r="B105" s="390"/>
      <c r="C105" s="390"/>
      <c r="D105" s="390"/>
      <c r="E105" s="390"/>
      <c r="F105" s="390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</row>
    <row r="106" ht="30.75" customHeight="1">
      <c r="A106" s="390"/>
      <c r="B106" s="390"/>
      <c r="C106" s="390"/>
      <c r="D106" s="390"/>
      <c r="E106" s="390"/>
      <c r="F106" s="390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</row>
    <row r="107" ht="30.75" customHeight="1">
      <c r="A107" s="390"/>
      <c r="B107" s="390"/>
      <c r="C107" s="390"/>
      <c r="D107" s="390"/>
      <c r="E107" s="390"/>
      <c r="F107" s="390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</row>
    <row r="108" ht="30.75" customHeight="1">
      <c r="A108" s="390"/>
      <c r="B108" s="390"/>
      <c r="C108" s="390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</row>
    <row r="109" ht="30.75" customHeight="1">
      <c r="A109" s="390"/>
      <c r="B109" s="390"/>
      <c r="C109" s="390"/>
      <c r="D109" s="390"/>
      <c r="E109" s="390"/>
      <c r="F109" s="390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</row>
    <row r="110" ht="30.75" customHeight="1">
      <c r="A110" s="390"/>
      <c r="B110" s="390"/>
      <c r="C110" s="390"/>
      <c r="D110" s="390"/>
      <c r="E110" s="390"/>
      <c r="F110" s="390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</row>
    <row r="111" ht="30.75" customHeight="1">
      <c r="A111" s="390"/>
      <c r="B111" s="390"/>
      <c r="C111" s="390"/>
      <c r="D111" s="390"/>
      <c r="E111" s="390"/>
      <c r="F111" s="390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</row>
    <row r="112" ht="30.75" customHeight="1">
      <c r="A112" s="390"/>
      <c r="B112" s="390"/>
      <c r="C112" s="390"/>
      <c r="D112" s="390"/>
      <c r="E112" s="390"/>
      <c r="F112" s="390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</row>
    <row r="113" ht="30.75" customHeight="1">
      <c r="A113" s="390"/>
      <c r="B113" s="390"/>
      <c r="C113" s="390"/>
      <c r="D113" s="390"/>
      <c r="E113" s="390"/>
      <c r="F113" s="390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</row>
    <row r="114" ht="30.75" customHeight="1">
      <c r="A114" s="390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</row>
    <row r="115" ht="30.75" customHeight="1">
      <c r="A115" s="390"/>
      <c r="B115" s="390"/>
      <c r="C115" s="390"/>
      <c r="D115" s="390"/>
      <c r="E115" s="390"/>
      <c r="F115" s="390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</row>
    <row r="116" ht="30.75" customHeight="1">
      <c r="A116" s="390"/>
      <c r="B116" s="390"/>
      <c r="C116" s="390"/>
      <c r="D116" s="390"/>
      <c r="E116" s="390"/>
      <c r="F116" s="390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</row>
    <row r="117" ht="30.75" customHeight="1">
      <c r="A117" s="390"/>
      <c r="B117" s="390"/>
      <c r="C117" s="390"/>
      <c r="D117" s="390"/>
      <c r="E117" s="390"/>
      <c r="F117" s="390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</row>
    <row r="118" ht="30.75" customHeight="1">
      <c r="A118" s="390"/>
      <c r="B118" s="390"/>
      <c r="C118" s="390"/>
      <c r="D118" s="390"/>
      <c r="E118" s="390"/>
      <c r="F118" s="390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</row>
    <row r="119" ht="30.75" customHeight="1">
      <c r="A119" s="390"/>
      <c r="B119" s="390"/>
      <c r="C119" s="390"/>
      <c r="D119" s="390"/>
      <c r="E119" s="390"/>
      <c r="F119" s="390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</row>
    <row r="120" ht="30.75" customHeight="1">
      <c r="A120" s="390"/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</row>
    <row r="121" ht="30.75" customHeight="1">
      <c r="A121" s="390"/>
      <c r="B121" s="390"/>
      <c r="C121" s="390"/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</row>
    <row r="122" ht="30.75" customHeight="1">
      <c r="A122" s="390"/>
      <c r="B122" s="390"/>
      <c r="C122" s="390"/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</row>
    <row r="123" ht="30.75" customHeight="1">
      <c r="A123" s="390"/>
      <c r="B123" s="390"/>
      <c r="C123" s="390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</row>
    <row r="124" ht="30.75" customHeight="1">
      <c r="A124" s="390"/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</row>
    <row r="125" ht="30.75" customHeight="1">
      <c r="A125" s="390"/>
      <c r="B125" s="390"/>
      <c r="C125" s="390"/>
      <c r="D125" s="390"/>
      <c r="E125" s="390"/>
      <c r="F125" s="390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</row>
    <row r="126" ht="30.75" customHeight="1">
      <c r="A126" s="390"/>
      <c r="B126" s="390"/>
      <c r="C126" s="390"/>
      <c r="D126" s="390"/>
      <c r="E126" s="390"/>
      <c r="F126" s="390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</row>
    <row r="127" ht="30.75" customHeight="1">
      <c r="A127" s="390"/>
      <c r="B127" s="390"/>
      <c r="C127" s="390"/>
      <c r="D127" s="390"/>
      <c r="E127" s="390"/>
      <c r="F127" s="390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</row>
    <row r="128" ht="30.75" customHeight="1">
      <c r="A128" s="390"/>
      <c r="B128" s="390"/>
      <c r="C128" s="390"/>
      <c r="D128" s="390"/>
      <c r="E128" s="390"/>
      <c r="F128" s="390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</row>
    <row r="129" ht="30.75" customHeight="1">
      <c r="A129" s="390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</row>
    <row r="130" ht="30.75" customHeight="1">
      <c r="A130" s="390"/>
      <c r="B130" s="390"/>
      <c r="C130" s="390"/>
      <c r="D130" s="390"/>
      <c r="E130" s="390"/>
      <c r="F130" s="390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</row>
    <row r="131" ht="30.75" customHeight="1">
      <c r="A131" s="390"/>
      <c r="B131" s="390"/>
      <c r="C131" s="390"/>
      <c r="D131" s="390"/>
      <c r="E131" s="390"/>
      <c r="F131" s="390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</row>
    <row r="132" ht="30.75" customHeight="1">
      <c r="A132" s="390"/>
      <c r="B132" s="390"/>
      <c r="C132" s="390"/>
      <c r="D132" s="390"/>
      <c r="E132" s="390"/>
      <c r="F132" s="390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</row>
    <row r="133" ht="30.75" customHeight="1">
      <c r="A133" s="390"/>
      <c r="B133" s="390"/>
      <c r="C133" s="390"/>
      <c r="D133" s="390"/>
      <c r="E133" s="390"/>
      <c r="F133" s="390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</row>
    <row r="134" ht="30.75" customHeight="1">
      <c r="A134" s="390"/>
      <c r="B134" s="390"/>
      <c r="C134" s="390"/>
      <c r="D134" s="390"/>
      <c r="E134" s="390"/>
      <c r="F134" s="390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</row>
    <row r="135" ht="30.75" customHeight="1">
      <c r="A135" s="390"/>
      <c r="B135" s="390"/>
      <c r="C135" s="390"/>
      <c r="D135" s="390"/>
      <c r="E135" s="390"/>
      <c r="F135" s="390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</row>
    <row r="136" ht="30.75" customHeight="1">
      <c r="A136" s="390"/>
      <c r="B136" s="390"/>
      <c r="C136" s="390"/>
      <c r="D136" s="390"/>
      <c r="E136" s="390"/>
      <c r="F136" s="390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</row>
    <row r="137" ht="30.75" customHeight="1">
      <c r="A137" s="390"/>
      <c r="B137" s="390"/>
      <c r="C137" s="390"/>
      <c r="D137" s="390"/>
      <c r="E137" s="390"/>
      <c r="F137" s="390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</row>
    <row r="138" ht="30.75" customHeight="1">
      <c r="A138" s="390"/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</row>
    <row r="139" ht="30.75" customHeight="1">
      <c r="A139" s="390"/>
      <c r="B139" s="390"/>
      <c r="C139" s="390"/>
      <c r="D139" s="390"/>
      <c r="E139" s="390"/>
      <c r="F139" s="390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</row>
    <row r="140" ht="30.75" customHeight="1">
      <c r="A140" s="390"/>
      <c r="B140" s="390"/>
      <c r="C140" s="390"/>
      <c r="D140" s="390"/>
      <c r="E140" s="390"/>
      <c r="F140" s="390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</row>
    <row r="141" ht="30.75" customHeight="1">
      <c r="A141" s="390"/>
      <c r="B141" s="390"/>
      <c r="C141" s="390"/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</row>
    <row r="142" ht="30.75" customHeight="1">
      <c r="A142" s="390"/>
      <c r="B142" s="390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</row>
    <row r="143" ht="30.75" customHeight="1">
      <c r="A143" s="390"/>
      <c r="B143" s="390"/>
      <c r="C143" s="390"/>
      <c r="D143" s="390"/>
      <c r="E143" s="390"/>
      <c r="F143" s="390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</row>
    <row r="144" ht="30.75" customHeight="1">
      <c r="A144" s="390"/>
      <c r="B144" s="390"/>
      <c r="C144" s="390"/>
      <c r="D144" s="390"/>
      <c r="E144" s="390"/>
      <c r="F144" s="390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</row>
    <row r="145" ht="30.75" customHeight="1">
      <c r="A145" s="390"/>
      <c r="B145" s="390"/>
      <c r="C145" s="390"/>
      <c r="D145" s="390"/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</row>
    <row r="146" ht="30.75" customHeight="1">
      <c r="A146" s="390"/>
      <c r="B146" s="390"/>
      <c r="C146" s="390"/>
      <c r="D146" s="390"/>
      <c r="E146" s="390"/>
      <c r="F146" s="390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</row>
    <row r="147" ht="30.75" customHeight="1">
      <c r="A147" s="390"/>
      <c r="B147" s="390"/>
      <c r="C147" s="390"/>
      <c r="D147" s="390"/>
      <c r="E147" s="390"/>
      <c r="F147" s="390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</row>
    <row r="148" ht="30.75" customHeight="1">
      <c r="A148" s="390"/>
      <c r="B148" s="390"/>
      <c r="C148" s="390"/>
      <c r="D148" s="390"/>
      <c r="E148" s="390"/>
      <c r="F148" s="390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</row>
    <row r="149" ht="30.75" customHeight="1">
      <c r="A149" s="390"/>
      <c r="B149" s="390"/>
      <c r="C149" s="390"/>
      <c r="D149" s="390"/>
      <c r="E149" s="390"/>
      <c r="F149" s="390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</row>
    <row r="150" ht="30.75" customHeight="1">
      <c r="A150" s="390"/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</row>
    <row r="151" ht="30.75" customHeight="1">
      <c r="A151" s="390"/>
      <c r="B151" s="390"/>
      <c r="C151" s="390"/>
      <c r="D151" s="390"/>
      <c r="E151" s="390"/>
      <c r="F151" s="390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</row>
    <row r="152" ht="30.75" customHeight="1">
      <c r="A152" s="390"/>
      <c r="B152" s="390"/>
      <c r="C152" s="390"/>
      <c r="D152" s="390"/>
      <c r="E152" s="390"/>
      <c r="F152" s="390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</row>
    <row r="153" ht="30.75" customHeight="1">
      <c r="A153" s="390"/>
      <c r="B153" s="390"/>
      <c r="C153" s="390"/>
      <c r="D153" s="390"/>
      <c r="E153" s="390"/>
      <c r="F153" s="390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</row>
    <row r="154" ht="30.75" customHeight="1">
      <c r="A154" s="390"/>
      <c r="B154" s="390"/>
      <c r="C154" s="390"/>
      <c r="D154" s="390"/>
      <c r="E154" s="390"/>
      <c r="F154" s="390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</row>
    <row r="155" ht="30.75" customHeight="1">
      <c r="A155" s="390"/>
      <c r="B155" s="390"/>
      <c r="C155" s="390"/>
      <c r="D155" s="390"/>
      <c r="E155" s="390"/>
      <c r="F155" s="390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</row>
    <row r="156" ht="30.75" customHeight="1">
      <c r="A156" s="390"/>
      <c r="B156" s="390"/>
      <c r="C156" s="390"/>
      <c r="D156" s="390"/>
      <c r="E156" s="390"/>
      <c r="F156" s="390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</row>
    <row r="157" ht="30.75" customHeight="1">
      <c r="A157" s="390"/>
      <c r="B157" s="390"/>
      <c r="C157" s="390"/>
      <c r="D157" s="390"/>
      <c r="E157" s="390"/>
      <c r="F157" s="390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</row>
    <row r="158" ht="30.75" customHeight="1">
      <c r="A158" s="390"/>
      <c r="B158" s="390"/>
      <c r="C158" s="390"/>
      <c r="D158" s="390"/>
      <c r="E158" s="390"/>
      <c r="F158" s="390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</row>
    <row r="159" ht="30.75" customHeight="1">
      <c r="A159" s="390"/>
      <c r="B159" s="390"/>
      <c r="C159" s="390"/>
      <c r="D159" s="390"/>
      <c r="E159" s="390"/>
      <c r="F159" s="390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</row>
    <row r="160" ht="30.75" customHeight="1">
      <c r="A160" s="390"/>
      <c r="B160" s="390"/>
      <c r="C160" s="390"/>
      <c r="D160" s="390"/>
      <c r="E160" s="390"/>
      <c r="F160" s="390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</row>
    <row r="161" ht="30.75" customHeight="1">
      <c r="A161" s="390"/>
      <c r="B161" s="390"/>
      <c r="C161" s="390"/>
      <c r="D161" s="390"/>
      <c r="E161" s="390"/>
      <c r="F161" s="390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</row>
    <row r="162" ht="30.75" customHeight="1">
      <c r="A162" s="390"/>
      <c r="B162" s="390"/>
      <c r="C162" s="390"/>
      <c r="D162" s="390"/>
      <c r="E162" s="390"/>
      <c r="F162" s="390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</row>
    <row r="163" ht="30.75" customHeight="1">
      <c r="A163" s="390"/>
      <c r="B163" s="390"/>
      <c r="C163" s="390"/>
      <c r="D163" s="390"/>
      <c r="E163" s="390"/>
      <c r="F163" s="390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</row>
    <row r="164" ht="30.75" customHeight="1">
      <c r="A164" s="390"/>
      <c r="B164" s="390"/>
      <c r="C164" s="390"/>
      <c r="D164" s="390"/>
      <c r="E164" s="390"/>
      <c r="F164" s="390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</row>
    <row r="165" ht="30.75" customHeight="1">
      <c r="A165" s="390"/>
      <c r="B165" s="390"/>
      <c r="C165" s="390"/>
      <c r="D165" s="390"/>
      <c r="E165" s="390"/>
      <c r="F165" s="390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</row>
    <row r="166" ht="30.75" customHeight="1">
      <c r="A166" s="390"/>
      <c r="B166" s="390"/>
      <c r="C166" s="390"/>
      <c r="D166" s="390"/>
      <c r="E166" s="390"/>
      <c r="F166" s="390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</row>
    <row r="167" ht="30.75" customHeight="1">
      <c r="A167" s="390"/>
      <c r="B167" s="390"/>
      <c r="C167" s="390"/>
      <c r="D167" s="390"/>
      <c r="E167" s="390"/>
      <c r="F167" s="390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</row>
    <row r="168" ht="30.75" customHeight="1">
      <c r="A168" s="390"/>
      <c r="B168" s="390"/>
      <c r="C168" s="390"/>
      <c r="D168" s="390"/>
      <c r="E168" s="390"/>
      <c r="F168" s="390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</row>
    <row r="169" ht="30.75" customHeight="1">
      <c r="A169" s="390"/>
      <c r="B169" s="390"/>
      <c r="C169" s="390"/>
      <c r="D169" s="390"/>
      <c r="E169" s="390"/>
      <c r="F169" s="390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</row>
    <row r="170" ht="30.75" customHeight="1">
      <c r="A170" s="390"/>
      <c r="B170" s="390"/>
      <c r="C170" s="390"/>
      <c r="D170" s="390"/>
      <c r="E170" s="390"/>
      <c r="F170" s="390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</row>
    <row r="171" ht="30.75" customHeight="1">
      <c r="A171" s="390"/>
      <c r="B171" s="390"/>
      <c r="C171" s="390"/>
      <c r="D171" s="390"/>
      <c r="E171" s="390"/>
      <c r="F171" s="390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</row>
    <row r="172" ht="30.75" customHeight="1">
      <c r="A172" s="390"/>
      <c r="B172" s="390"/>
      <c r="C172" s="390"/>
      <c r="D172" s="390"/>
      <c r="E172" s="390"/>
      <c r="F172" s="390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</row>
    <row r="173" ht="30.75" customHeight="1">
      <c r="A173" s="390"/>
      <c r="B173" s="390"/>
      <c r="C173" s="390"/>
      <c r="D173" s="390"/>
      <c r="E173" s="390"/>
      <c r="F173" s="390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</row>
    <row r="174" ht="30.75" customHeight="1">
      <c r="A174" s="390"/>
      <c r="B174" s="390"/>
      <c r="C174" s="390"/>
      <c r="D174" s="390"/>
      <c r="E174" s="390"/>
      <c r="F174" s="390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</row>
    <row r="175" ht="30.75" customHeight="1">
      <c r="A175" s="390"/>
      <c r="B175" s="390"/>
      <c r="C175" s="390"/>
      <c r="D175" s="390"/>
      <c r="E175" s="390"/>
      <c r="F175" s="390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</row>
    <row r="176" ht="30.75" customHeight="1">
      <c r="A176" s="390"/>
      <c r="B176" s="390"/>
      <c r="C176" s="390"/>
      <c r="D176" s="390"/>
      <c r="E176" s="390"/>
      <c r="F176" s="390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</row>
    <row r="177" ht="30.75" customHeight="1">
      <c r="A177" s="390"/>
      <c r="B177" s="390"/>
      <c r="C177" s="390"/>
      <c r="D177" s="390"/>
      <c r="E177" s="390"/>
      <c r="F177" s="390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</row>
    <row r="178" ht="30.75" customHeight="1">
      <c r="A178" s="390"/>
      <c r="B178" s="390"/>
      <c r="C178" s="390"/>
      <c r="D178" s="390"/>
      <c r="E178" s="390"/>
      <c r="F178" s="390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</row>
    <row r="179" ht="30.75" customHeight="1">
      <c r="A179" s="390"/>
      <c r="B179" s="390"/>
      <c r="C179" s="390"/>
      <c r="D179" s="390"/>
      <c r="E179" s="390"/>
      <c r="F179" s="390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</row>
    <row r="180" ht="30.75" customHeight="1">
      <c r="A180" s="390"/>
      <c r="B180" s="390"/>
      <c r="C180" s="390"/>
      <c r="D180" s="390"/>
      <c r="E180" s="390"/>
      <c r="F180" s="390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</row>
    <row r="181" ht="30.75" customHeight="1">
      <c r="A181" s="390"/>
      <c r="B181" s="390"/>
      <c r="C181" s="390"/>
      <c r="D181" s="390"/>
      <c r="E181" s="390"/>
      <c r="F181" s="390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</row>
    <row r="182" ht="30.75" customHeight="1">
      <c r="A182" s="390"/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</row>
    <row r="183" ht="30.75" customHeight="1">
      <c r="A183" s="390"/>
      <c r="B183" s="390"/>
      <c r="C183" s="390"/>
      <c r="D183" s="390"/>
      <c r="E183" s="390"/>
      <c r="F183" s="390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</row>
    <row r="184" ht="30.75" customHeight="1">
      <c r="A184" s="390"/>
      <c r="B184" s="390"/>
      <c r="C184" s="390"/>
      <c r="D184" s="390"/>
      <c r="E184" s="390"/>
      <c r="F184" s="390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</row>
    <row r="185" ht="30.75" customHeight="1">
      <c r="A185" s="390"/>
      <c r="B185" s="390"/>
      <c r="C185" s="390"/>
      <c r="D185" s="390"/>
      <c r="E185" s="390"/>
      <c r="F185" s="390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</row>
    <row r="186" ht="30.75" customHeight="1">
      <c r="A186" s="390"/>
      <c r="B186" s="390"/>
      <c r="C186" s="390"/>
      <c r="D186" s="390"/>
      <c r="E186" s="390"/>
      <c r="F186" s="390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</row>
    <row r="187" ht="30.75" customHeight="1">
      <c r="A187" s="390"/>
      <c r="B187" s="390"/>
      <c r="C187" s="390"/>
      <c r="D187" s="390"/>
      <c r="E187" s="390"/>
      <c r="F187" s="390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</row>
    <row r="188" ht="30.75" customHeight="1">
      <c r="A188" s="390"/>
      <c r="B188" s="390"/>
      <c r="C188" s="390"/>
      <c r="D188" s="390"/>
      <c r="E188" s="390"/>
      <c r="F188" s="390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</row>
    <row r="189" ht="30.75" customHeight="1">
      <c r="A189" s="390"/>
      <c r="B189" s="390"/>
      <c r="C189" s="390"/>
      <c r="D189" s="390"/>
      <c r="E189" s="390"/>
      <c r="F189" s="390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</row>
    <row r="190" ht="30.75" customHeight="1">
      <c r="A190" s="390"/>
      <c r="B190" s="390"/>
      <c r="C190" s="390"/>
      <c r="D190" s="390"/>
      <c r="E190" s="390"/>
      <c r="F190" s="390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</row>
    <row r="191" ht="30.75" customHeight="1">
      <c r="A191" s="390"/>
      <c r="B191" s="390"/>
      <c r="C191" s="390"/>
      <c r="D191" s="390"/>
      <c r="E191" s="390"/>
      <c r="F191" s="390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</row>
    <row r="192" ht="30.75" customHeight="1">
      <c r="A192" s="390"/>
      <c r="B192" s="390"/>
      <c r="C192" s="390"/>
      <c r="D192" s="390"/>
      <c r="E192" s="390"/>
      <c r="F192" s="390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</row>
    <row r="193" ht="30.75" customHeight="1">
      <c r="A193" s="390"/>
      <c r="B193" s="390"/>
      <c r="C193" s="390"/>
      <c r="D193" s="390"/>
      <c r="E193" s="390"/>
      <c r="F193" s="390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</row>
    <row r="194" ht="30.75" customHeight="1">
      <c r="A194" s="390"/>
      <c r="B194" s="390"/>
      <c r="C194" s="390"/>
      <c r="D194" s="390"/>
      <c r="E194" s="390"/>
      <c r="F194" s="390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</row>
    <row r="195" ht="30.75" customHeight="1">
      <c r="A195" s="390"/>
      <c r="B195" s="390"/>
      <c r="C195" s="390"/>
      <c r="D195" s="390"/>
      <c r="E195" s="390"/>
      <c r="F195" s="390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</row>
    <row r="196" ht="30.75" customHeight="1">
      <c r="A196" s="390"/>
      <c r="B196" s="390"/>
      <c r="C196" s="390"/>
      <c r="D196" s="390"/>
      <c r="E196" s="390"/>
      <c r="F196" s="390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</row>
    <row r="197" ht="30.75" customHeight="1">
      <c r="A197" s="390"/>
      <c r="B197" s="390"/>
      <c r="C197" s="390"/>
      <c r="D197" s="390"/>
      <c r="E197" s="390"/>
      <c r="F197" s="390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</row>
    <row r="198" ht="30.75" customHeight="1">
      <c r="A198" s="390"/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</row>
    <row r="199" ht="30.75" customHeight="1">
      <c r="A199" s="390"/>
      <c r="B199" s="390"/>
      <c r="C199" s="390"/>
      <c r="D199" s="390"/>
      <c r="E199" s="390"/>
      <c r="F199" s="390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</row>
    <row r="200" ht="30.75" customHeight="1">
      <c r="A200" s="390"/>
      <c r="B200" s="390"/>
      <c r="C200" s="390"/>
      <c r="D200" s="390"/>
      <c r="E200" s="390"/>
      <c r="F200" s="390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</row>
    <row r="201" ht="30.75" customHeight="1">
      <c r="A201" s="390"/>
      <c r="B201" s="390"/>
      <c r="C201" s="390"/>
      <c r="D201" s="390"/>
      <c r="E201" s="390"/>
      <c r="F201" s="390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</row>
    <row r="202" ht="30.75" customHeight="1">
      <c r="A202" s="390"/>
      <c r="B202" s="390"/>
      <c r="C202" s="390"/>
      <c r="D202" s="390"/>
      <c r="E202" s="390"/>
      <c r="F202" s="390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</row>
    <row r="203" ht="30.75" customHeight="1">
      <c r="A203" s="390"/>
      <c r="B203" s="390"/>
      <c r="C203" s="390"/>
      <c r="D203" s="390"/>
      <c r="E203" s="390"/>
      <c r="F203" s="390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</row>
    <row r="204" ht="30.75" customHeight="1">
      <c r="A204" s="390"/>
      <c r="B204" s="390"/>
      <c r="C204" s="390"/>
      <c r="D204" s="390"/>
      <c r="E204" s="390"/>
      <c r="F204" s="390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</row>
    <row r="205" ht="30.75" customHeight="1">
      <c r="A205" s="390"/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</row>
    <row r="206" ht="30.75" customHeight="1">
      <c r="A206" s="390"/>
      <c r="B206" s="390"/>
      <c r="C206" s="390"/>
      <c r="D206" s="390"/>
      <c r="E206" s="390"/>
      <c r="F206" s="390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</row>
    <row r="207" ht="30.75" customHeight="1">
      <c r="A207" s="390"/>
      <c r="B207" s="390"/>
      <c r="C207" s="390"/>
      <c r="D207" s="390"/>
      <c r="E207" s="390"/>
      <c r="F207" s="390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</row>
    <row r="208" ht="30.75" customHeight="1">
      <c r="A208" s="390"/>
      <c r="B208" s="390"/>
      <c r="C208" s="390"/>
      <c r="D208" s="390"/>
      <c r="E208" s="390"/>
      <c r="F208" s="390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</row>
    <row r="209" ht="30.75" customHeight="1">
      <c r="A209" s="390"/>
      <c r="B209" s="390"/>
      <c r="C209" s="390"/>
      <c r="D209" s="390"/>
      <c r="E209" s="390"/>
      <c r="F209" s="390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</row>
    <row r="210" ht="30.75" customHeight="1">
      <c r="A210" s="390"/>
      <c r="B210" s="390"/>
      <c r="C210" s="390"/>
      <c r="D210" s="390"/>
      <c r="E210" s="390"/>
      <c r="F210" s="390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</row>
    <row r="211" ht="30.75" customHeight="1">
      <c r="A211" s="390"/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</row>
    <row r="212" ht="30.75" customHeight="1">
      <c r="A212" s="390"/>
      <c r="B212" s="390"/>
      <c r="C212" s="390"/>
      <c r="D212" s="390"/>
      <c r="E212" s="390"/>
      <c r="F212" s="390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</row>
    <row r="213" ht="30.75" customHeight="1">
      <c r="A213" s="390"/>
      <c r="B213" s="390"/>
      <c r="C213" s="390"/>
      <c r="D213" s="390"/>
      <c r="E213" s="390"/>
      <c r="F213" s="390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</row>
    <row r="214" ht="30.75" customHeight="1">
      <c r="A214" s="390"/>
      <c r="B214" s="390"/>
      <c r="C214" s="390"/>
      <c r="D214" s="390"/>
      <c r="E214" s="390"/>
      <c r="F214" s="390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</row>
    <row r="215" ht="30.75" customHeight="1">
      <c r="A215" s="390"/>
      <c r="B215" s="390"/>
      <c r="C215" s="390"/>
      <c r="D215" s="390"/>
      <c r="E215" s="390"/>
      <c r="F215" s="390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</row>
    <row r="216" ht="30.75" customHeight="1">
      <c r="A216" s="390"/>
      <c r="B216" s="390"/>
      <c r="C216" s="390"/>
      <c r="D216" s="390"/>
      <c r="E216" s="390"/>
      <c r="F216" s="390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</row>
    <row r="217" ht="30.75" customHeight="1">
      <c r="A217" s="390"/>
      <c r="B217" s="390"/>
      <c r="C217" s="390"/>
      <c r="D217" s="390"/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</row>
    <row r="218" ht="30.75" customHeight="1">
      <c r="A218" s="390"/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</row>
    <row r="219" ht="30.75" customHeight="1">
      <c r="A219" s="390"/>
      <c r="B219" s="390"/>
      <c r="C219" s="390"/>
      <c r="D219" s="390"/>
      <c r="E219" s="390"/>
      <c r="F219" s="390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</row>
    <row r="220" ht="30.75" customHeight="1">
      <c r="A220" s="390"/>
      <c r="B220" s="390"/>
      <c r="C220" s="390"/>
      <c r="D220" s="390"/>
      <c r="E220" s="390"/>
      <c r="F220" s="390"/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</row>
    <row r="221" ht="30.75" customHeight="1">
      <c r="A221" s="390"/>
      <c r="B221" s="390"/>
      <c r="C221" s="390"/>
      <c r="D221" s="390"/>
      <c r="E221" s="390"/>
      <c r="F221" s="390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</row>
    <row r="222" ht="30.75" customHeight="1">
      <c r="A222" s="390"/>
      <c r="B222" s="390"/>
      <c r="C222" s="390"/>
      <c r="D222" s="390"/>
      <c r="E222" s="390"/>
      <c r="F222" s="390"/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</row>
    <row r="223" ht="30.75" customHeight="1">
      <c r="A223" s="390"/>
      <c r="B223" s="390"/>
      <c r="C223" s="390"/>
      <c r="D223" s="390"/>
      <c r="E223" s="390"/>
      <c r="F223" s="390"/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</row>
    <row r="224" ht="30.75" customHeight="1">
      <c r="A224" s="390"/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</row>
    <row r="225" ht="30.75" customHeight="1">
      <c r="A225" s="390"/>
      <c r="B225" s="390"/>
      <c r="C225" s="390"/>
      <c r="D225" s="390"/>
      <c r="E225" s="390"/>
      <c r="F225" s="390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</row>
    <row r="226" ht="30.75" customHeight="1">
      <c r="A226" s="390"/>
      <c r="B226" s="390"/>
      <c r="C226" s="390"/>
      <c r="D226" s="390"/>
      <c r="E226" s="390"/>
      <c r="F226" s="390"/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  <c r="T226" s="390"/>
      <c r="U226" s="390"/>
      <c r="V226" s="390"/>
    </row>
    <row r="227" ht="30.75" customHeight="1">
      <c r="A227" s="390"/>
      <c r="B227" s="390"/>
      <c r="C227" s="390"/>
      <c r="D227" s="390"/>
      <c r="E227" s="390"/>
      <c r="F227" s="390"/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  <c r="T227" s="390"/>
      <c r="U227" s="390"/>
      <c r="V227" s="390"/>
    </row>
    <row r="228" ht="30.75" customHeight="1">
      <c r="A228" s="390"/>
      <c r="B228" s="390"/>
      <c r="C228" s="390"/>
      <c r="D228" s="390"/>
      <c r="E228" s="390"/>
      <c r="F228" s="390"/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  <c r="T228" s="390"/>
      <c r="U228" s="390"/>
      <c r="V228" s="390"/>
    </row>
    <row r="229" ht="30.75" customHeight="1">
      <c r="A229" s="390"/>
      <c r="B229" s="390"/>
      <c r="C229" s="390"/>
      <c r="D229" s="390"/>
      <c r="E229" s="390"/>
      <c r="F229" s="390"/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  <c r="T229" s="390"/>
      <c r="U229" s="390"/>
      <c r="V229" s="390"/>
    </row>
    <row r="230" ht="30.75" customHeight="1">
      <c r="A230" s="390"/>
      <c r="B230" s="390"/>
      <c r="C230" s="390"/>
      <c r="D230" s="390"/>
      <c r="E230" s="390"/>
      <c r="F230" s="390"/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  <c r="T230" s="390"/>
      <c r="U230" s="390"/>
      <c r="V230" s="390"/>
    </row>
    <row r="231" ht="30.75" customHeight="1">
      <c r="A231" s="390"/>
      <c r="B231" s="390"/>
      <c r="C231" s="390"/>
      <c r="D231" s="390"/>
      <c r="E231" s="390"/>
      <c r="F231" s="390"/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  <c r="T231" s="390"/>
      <c r="U231" s="390"/>
      <c r="V231" s="390"/>
    </row>
    <row r="232" ht="30.75" customHeight="1">
      <c r="A232" s="390"/>
      <c r="B232" s="390"/>
      <c r="C232" s="390"/>
      <c r="D232" s="390"/>
      <c r="E232" s="390"/>
      <c r="F232" s="390"/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  <c r="T232" s="390"/>
      <c r="U232" s="390"/>
      <c r="V232" s="390"/>
    </row>
    <row r="233" ht="30.75" customHeight="1">
      <c r="A233" s="390"/>
      <c r="B233" s="390"/>
      <c r="C233" s="390"/>
      <c r="D233" s="390"/>
      <c r="E233" s="390"/>
      <c r="F233" s="390"/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  <c r="T233" s="390"/>
      <c r="U233" s="390"/>
      <c r="V233" s="390"/>
    </row>
    <row r="234" ht="30.75" customHeight="1">
      <c r="A234" s="390"/>
      <c r="B234" s="390"/>
      <c r="C234" s="390"/>
      <c r="D234" s="390"/>
      <c r="E234" s="390"/>
      <c r="F234" s="390"/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  <c r="T234" s="390"/>
      <c r="U234" s="390"/>
      <c r="V234" s="390"/>
    </row>
    <row r="235" ht="30.75" customHeight="1">
      <c r="A235" s="390"/>
      <c r="B235" s="390"/>
      <c r="C235" s="390"/>
      <c r="D235" s="390"/>
      <c r="E235" s="390"/>
      <c r="F235" s="390"/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  <c r="T235" s="390"/>
      <c r="U235" s="390"/>
      <c r="V235" s="390"/>
    </row>
    <row r="236" ht="30.75" customHeight="1">
      <c r="A236" s="390"/>
      <c r="B236" s="390"/>
      <c r="C236" s="390"/>
      <c r="D236" s="390"/>
      <c r="E236" s="390"/>
      <c r="F236" s="390"/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  <c r="T236" s="390"/>
      <c r="U236" s="390"/>
      <c r="V236" s="390"/>
    </row>
    <row r="237" ht="30.75" customHeight="1">
      <c r="A237" s="390"/>
      <c r="B237" s="390"/>
      <c r="C237" s="390"/>
      <c r="D237" s="390"/>
      <c r="E237" s="390"/>
      <c r="F237" s="390"/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  <c r="T237" s="390"/>
      <c r="U237" s="390"/>
      <c r="V237" s="390"/>
    </row>
    <row r="238" ht="30.75" customHeight="1">
      <c r="A238" s="390"/>
      <c r="B238" s="390"/>
      <c r="C238" s="390"/>
      <c r="D238" s="390"/>
      <c r="E238" s="390"/>
      <c r="F238" s="390"/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  <c r="T238" s="390"/>
      <c r="U238" s="390"/>
      <c r="V238" s="390"/>
    </row>
    <row r="239" ht="30.75" customHeight="1">
      <c r="A239" s="390"/>
      <c r="B239" s="390"/>
      <c r="C239" s="390"/>
      <c r="D239" s="390"/>
      <c r="E239" s="390"/>
      <c r="F239" s="390"/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  <c r="T239" s="390"/>
      <c r="U239" s="390"/>
      <c r="V239" s="390"/>
    </row>
    <row r="240" ht="30.75" customHeight="1">
      <c r="A240" s="390"/>
      <c r="B240" s="390"/>
      <c r="C240" s="390"/>
      <c r="D240" s="390"/>
      <c r="E240" s="390"/>
      <c r="F240" s="390"/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  <c r="T240" s="390"/>
      <c r="U240" s="390"/>
      <c r="V240" s="390"/>
    </row>
    <row r="241" ht="30.75" customHeight="1">
      <c r="A241" s="390"/>
      <c r="B241" s="390"/>
      <c r="C241" s="390"/>
      <c r="D241" s="390"/>
      <c r="E241" s="390"/>
      <c r="F241" s="390"/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  <c r="T241" s="390"/>
      <c r="U241" s="390"/>
      <c r="V241" s="390"/>
    </row>
    <row r="242" ht="30.75" customHeight="1">
      <c r="A242" s="390"/>
      <c r="B242" s="390"/>
      <c r="C242" s="390"/>
      <c r="D242" s="390"/>
      <c r="E242" s="390"/>
      <c r="F242" s="390"/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  <c r="T242" s="390"/>
      <c r="U242" s="390"/>
      <c r="V242" s="390"/>
    </row>
    <row r="243" ht="30.75" customHeight="1">
      <c r="A243" s="390"/>
      <c r="B243" s="390"/>
      <c r="C243" s="390"/>
      <c r="D243" s="390"/>
      <c r="E243" s="390"/>
      <c r="F243" s="390"/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  <c r="T243" s="390"/>
      <c r="U243" s="390"/>
      <c r="V243" s="390"/>
    </row>
    <row r="244" ht="30.75" customHeight="1">
      <c r="A244" s="390"/>
      <c r="B244" s="390"/>
      <c r="C244" s="390"/>
      <c r="D244" s="390"/>
      <c r="E244" s="390"/>
      <c r="F244" s="390"/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  <c r="T244" s="390"/>
      <c r="U244" s="390"/>
      <c r="V244" s="390"/>
    </row>
    <row r="245" ht="30.75" customHeight="1">
      <c r="A245" s="390"/>
      <c r="B245" s="390"/>
      <c r="C245" s="390"/>
      <c r="D245" s="390"/>
      <c r="E245" s="390"/>
      <c r="F245" s="390"/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  <c r="T245" s="390"/>
      <c r="U245" s="390"/>
      <c r="V245" s="390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52.57"/>
    <col customWidth="1" min="3" max="3" width="13.14"/>
    <col customWidth="1" min="4" max="5" width="34.43"/>
    <col customWidth="1" min="6" max="22" width="33.43"/>
  </cols>
  <sheetData>
    <row r="1" ht="18.75" customHeight="1">
      <c r="A1" s="389" t="s">
        <v>285</v>
      </c>
      <c r="B1" s="63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</row>
    <row r="2" ht="27.0" customHeight="1">
      <c r="A2" s="391" t="s">
        <v>7</v>
      </c>
      <c r="B2" s="391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</row>
    <row r="3" ht="27.0" customHeight="1">
      <c r="A3" s="392" t="s">
        <v>286</v>
      </c>
      <c r="B3" s="392" t="s">
        <v>332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</row>
    <row r="4" ht="27.0" customHeight="1">
      <c r="A4" s="392" t="s">
        <v>288</v>
      </c>
      <c r="B4" s="392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</row>
    <row r="5" ht="27.0" customHeight="1">
      <c r="A5" s="392" t="s">
        <v>289</v>
      </c>
      <c r="B5" s="392"/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</row>
    <row r="6" ht="27.0" customHeight="1">
      <c r="A6" s="393" t="s">
        <v>290</v>
      </c>
      <c r="B6" s="394">
        <f>'CE (ИП)'!X279</f>
        <v>2223151.648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</row>
    <row r="7" ht="27.0" customHeight="1">
      <c r="A7" s="395" t="s">
        <v>291</v>
      </c>
      <c r="B7" s="394">
        <f>'CE (ИП)'!AA279</f>
        <v>0</v>
      </c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</row>
    <row r="8" ht="27.0" customHeight="1">
      <c r="A8" s="392" t="s">
        <v>333</v>
      </c>
      <c r="B8" s="394">
        <f>'CE (ИП)'!M281</f>
        <v>2639516.484</v>
      </c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</row>
    <row r="9" ht="27.0" customHeight="1">
      <c r="A9" s="393" t="s">
        <v>294</v>
      </c>
      <c r="B9" s="396">
        <f>'CE (ИП)'!T1</f>
        <v>0.04288959471</v>
      </c>
      <c r="C9" s="390"/>
      <c r="D9" s="390"/>
      <c r="E9" s="390"/>
      <c r="F9" s="390"/>
      <c r="G9" s="390"/>
      <c r="H9" s="390"/>
      <c r="I9" s="390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</row>
    <row r="10" ht="27.0" customHeight="1">
      <c r="A10" s="395" t="s">
        <v>295</v>
      </c>
      <c r="B10" s="396">
        <f>'CE (ИП)'!AA284</f>
        <v>1</v>
      </c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</row>
    <row r="11" ht="27.0" customHeight="1">
      <c r="A11" s="392" t="s">
        <v>296</v>
      </c>
      <c r="B11" s="392"/>
      <c r="C11" s="390"/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</row>
    <row r="12" ht="27.0" customHeight="1">
      <c r="A12" s="392" t="s">
        <v>297</v>
      </c>
      <c r="B12" s="392"/>
      <c r="C12" s="390"/>
      <c r="D12" s="390"/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</row>
    <row r="13" ht="27.0" customHeight="1">
      <c r="A13" s="392" t="s">
        <v>298</v>
      </c>
      <c r="B13" s="392"/>
      <c r="C13" s="390"/>
      <c r="D13" s="390"/>
      <c r="E13" s="390"/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</row>
    <row r="14" ht="27.0" customHeight="1">
      <c r="A14" s="399" t="s">
        <v>299</v>
      </c>
      <c r="B14" s="397"/>
      <c r="C14" s="390"/>
      <c r="D14" s="390"/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390"/>
      <c r="P14" s="390"/>
      <c r="Q14" s="390"/>
      <c r="R14" s="390"/>
      <c r="S14" s="390"/>
      <c r="T14" s="390"/>
      <c r="U14" s="390"/>
      <c r="V14" s="390"/>
    </row>
    <row r="15" ht="27.0" customHeight="1">
      <c r="A15" s="392" t="s">
        <v>300</v>
      </c>
      <c r="B15" s="402"/>
      <c r="C15" s="390"/>
      <c r="D15" s="390"/>
      <c r="E15" s="390"/>
      <c r="F15" s="390"/>
      <c r="G15" s="390"/>
      <c r="H15" s="390"/>
      <c r="I15" s="390"/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</row>
    <row r="16" ht="27.0" customHeight="1">
      <c r="A16" s="392" t="s">
        <v>301</v>
      </c>
      <c r="B16" s="397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</row>
    <row r="17" ht="27.0" customHeight="1">
      <c r="A17" s="392" t="s">
        <v>302</v>
      </c>
      <c r="B17" s="392"/>
      <c r="C17" s="390"/>
      <c r="D17" s="390"/>
      <c r="E17" s="390"/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</row>
    <row r="18" ht="27.0" customHeight="1">
      <c r="A18" s="392" t="s">
        <v>303</v>
      </c>
      <c r="B18" s="403"/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390"/>
      <c r="Q18" s="390"/>
      <c r="R18" s="390"/>
      <c r="S18" s="390"/>
      <c r="T18" s="390"/>
      <c r="U18" s="390"/>
      <c r="V18" s="390"/>
    </row>
    <row r="19" ht="27.0" customHeight="1">
      <c r="A19" s="392" t="s">
        <v>304</v>
      </c>
      <c r="B19" s="404"/>
      <c r="C19" s="390"/>
      <c r="D19" s="390"/>
      <c r="E19" s="390"/>
      <c r="F19" s="390"/>
      <c r="G19" s="390"/>
      <c r="H19" s="390"/>
      <c r="I19" s="390"/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  <c r="U19" s="390"/>
      <c r="V19" s="390"/>
    </row>
    <row r="20" ht="27.0" customHeight="1">
      <c r="A20" s="392" t="s">
        <v>305</v>
      </c>
      <c r="B20" s="40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</row>
    <row r="21" ht="27.0" customHeight="1">
      <c r="A21" s="392" t="s">
        <v>306</v>
      </c>
      <c r="B21" s="400"/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</row>
    <row r="22" ht="27.0" customHeight="1">
      <c r="A22" s="392" t="s">
        <v>307</v>
      </c>
      <c r="B22" s="400"/>
      <c r="C22" s="390"/>
      <c r="D22" s="390"/>
      <c r="E22" s="390"/>
      <c r="F22" s="390"/>
      <c r="G22" s="390"/>
      <c r="H22" s="390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  <c r="U22" s="390"/>
      <c r="V22" s="390"/>
    </row>
    <row r="23" ht="27.0" customHeight="1">
      <c r="A23" s="392" t="s">
        <v>308</v>
      </c>
      <c r="B23" s="40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</row>
    <row r="24" ht="27.0" customHeight="1">
      <c r="A24" s="392" t="s">
        <v>309</v>
      </c>
      <c r="B24" s="400"/>
      <c r="C24" s="390"/>
      <c r="D24" s="390"/>
      <c r="E24" s="390"/>
      <c r="F24" s="390"/>
      <c r="G24" s="390"/>
      <c r="H24" s="390"/>
      <c r="I24" s="390"/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  <c r="U24" s="390"/>
      <c r="V24" s="390"/>
    </row>
    <row r="25" ht="27.0" customHeight="1">
      <c r="A25" s="392" t="s">
        <v>310</v>
      </c>
      <c r="B25" s="400"/>
      <c r="C25" s="390"/>
      <c r="D25" s="390"/>
      <c r="E25" s="390"/>
      <c r="F25" s="390"/>
      <c r="G25" s="390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</row>
    <row r="26" ht="27.0" customHeight="1">
      <c r="A26" s="392" t="s">
        <v>311</v>
      </c>
      <c r="B26" s="40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</row>
    <row r="27" ht="27.0" customHeight="1">
      <c r="A27" s="392" t="s">
        <v>312</v>
      </c>
      <c r="B27" s="400"/>
      <c r="C27" s="390"/>
      <c r="D27" s="390"/>
      <c r="E27" s="390"/>
      <c r="F27" s="390"/>
      <c r="G27" s="390"/>
      <c r="H27" s="390"/>
      <c r="I27" s="390"/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</row>
    <row r="28" ht="27.0" customHeight="1">
      <c r="A28" s="392" t="s">
        <v>334</v>
      </c>
      <c r="B28" s="40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</row>
    <row r="29" ht="27.0" customHeight="1">
      <c r="A29" s="392" t="s">
        <v>314</v>
      </c>
      <c r="B29" s="400"/>
      <c r="C29" s="390"/>
      <c r="D29" s="390"/>
      <c r="E29" s="390"/>
      <c r="F29" s="390"/>
      <c r="G29" s="390"/>
      <c r="H29" s="390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90"/>
      <c r="T29" s="390"/>
      <c r="U29" s="390"/>
      <c r="V29" s="390"/>
    </row>
    <row r="30" ht="27.0" customHeight="1">
      <c r="A30" s="392" t="s">
        <v>315</v>
      </c>
      <c r="B30" s="400"/>
      <c r="C30" s="390"/>
      <c r="D30" s="390"/>
      <c r="E30" s="390"/>
      <c r="F30" s="390"/>
      <c r="G30" s="390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</row>
    <row r="31" ht="27.0" customHeight="1">
      <c r="A31" s="392" t="s">
        <v>316</v>
      </c>
      <c r="B31" s="400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</row>
    <row r="32" ht="27.0" customHeight="1">
      <c r="A32" s="392" t="s">
        <v>317</v>
      </c>
      <c r="B32" s="400"/>
      <c r="C32" s="390"/>
      <c r="D32" s="390"/>
      <c r="E32" s="390"/>
      <c r="F32" s="390"/>
      <c r="G32" s="390"/>
      <c r="H32" s="390"/>
      <c r="I32" s="390"/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</row>
    <row r="33" ht="27.0" customHeight="1">
      <c r="A33" s="392" t="s">
        <v>318</v>
      </c>
      <c r="B33" s="400"/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</row>
    <row r="34" ht="27.0" customHeight="1">
      <c r="A34" s="399" t="s">
        <v>319</v>
      </c>
      <c r="B34" s="400"/>
      <c r="C34" s="390"/>
      <c r="D34" s="390"/>
      <c r="E34" s="390"/>
      <c r="F34" s="390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0"/>
      <c r="V34" s="390"/>
    </row>
    <row r="35" ht="27.0" customHeight="1">
      <c r="A35" s="392" t="s">
        <v>300</v>
      </c>
      <c r="B35" s="402"/>
      <c r="C35" s="390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</row>
    <row r="36" ht="27.0" customHeight="1">
      <c r="A36" s="392" t="s">
        <v>301</v>
      </c>
      <c r="B36" s="397"/>
      <c r="C36" s="390"/>
      <c r="D36" s="390"/>
      <c r="E36" s="390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</row>
    <row r="37" ht="27.0" customHeight="1">
      <c r="A37" s="392" t="s">
        <v>302</v>
      </c>
      <c r="B37" s="400"/>
      <c r="C37" s="390"/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</row>
    <row r="38" ht="27.0" customHeight="1">
      <c r="A38" s="392" t="s">
        <v>303</v>
      </c>
      <c r="B38" s="405"/>
      <c r="C38" s="390"/>
      <c r="D38" s="390"/>
      <c r="E38" s="390"/>
      <c r="F38" s="390"/>
      <c r="G38" s="390"/>
      <c r="H38" s="390"/>
      <c r="I38" s="390"/>
      <c r="J38" s="390"/>
      <c r="K38" s="390"/>
      <c r="L38" s="390"/>
      <c r="M38" s="390"/>
      <c r="N38" s="390"/>
      <c r="O38" s="390"/>
      <c r="P38" s="390"/>
      <c r="Q38" s="390"/>
      <c r="R38" s="390"/>
      <c r="S38" s="390"/>
      <c r="T38" s="390"/>
      <c r="U38" s="390"/>
      <c r="V38" s="390"/>
    </row>
    <row r="39" ht="30.75" customHeight="1">
      <c r="A39" s="392" t="s">
        <v>320</v>
      </c>
      <c r="B39" s="400"/>
      <c r="C39" s="390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</row>
    <row r="40" ht="30.75" customHeight="1">
      <c r="A40" s="392" t="s">
        <v>315</v>
      </c>
      <c r="B40" s="400"/>
      <c r="C40" s="390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</row>
    <row r="41" ht="30.75" customHeight="1">
      <c r="A41" s="392" t="s">
        <v>316</v>
      </c>
      <c r="B41" s="40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</row>
    <row r="42" ht="30.75" customHeight="1">
      <c r="A42" s="392" t="s">
        <v>317</v>
      </c>
      <c r="B42" s="40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0"/>
      <c r="O42" s="390"/>
      <c r="P42" s="390"/>
      <c r="Q42" s="390"/>
      <c r="R42" s="390"/>
      <c r="S42" s="390"/>
      <c r="T42" s="390"/>
      <c r="U42" s="390"/>
      <c r="V42" s="390"/>
    </row>
    <row r="43" ht="30.75" customHeight="1">
      <c r="A43" s="392" t="s">
        <v>318</v>
      </c>
      <c r="B43" s="400"/>
      <c r="C43" s="390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</row>
    <row r="44" ht="30.75" customHeight="1">
      <c r="A44" s="399" t="s">
        <v>321</v>
      </c>
      <c r="B44" s="40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</row>
    <row r="45" ht="30.75" customHeight="1">
      <c r="A45" s="392" t="s">
        <v>301</v>
      </c>
      <c r="B45" s="40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</row>
    <row r="46" ht="30.75" customHeight="1">
      <c r="A46" s="392" t="s">
        <v>302</v>
      </c>
      <c r="B46" s="40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</row>
    <row r="47" ht="30.75" customHeight="1">
      <c r="A47" s="392" t="s">
        <v>303</v>
      </c>
      <c r="B47" s="400"/>
      <c r="C47" s="390"/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</row>
    <row r="48" ht="30.75" customHeight="1">
      <c r="A48" s="392" t="s">
        <v>322</v>
      </c>
      <c r="B48" s="400"/>
      <c r="C48" s="390"/>
      <c r="D48" s="390"/>
      <c r="E48" s="390"/>
      <c r="F48" s="390"/>
      <c r="G48" s="390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</row>
    <row r="49" ht="30.75" customHeight="1">
      <c r="A49" s="392" t="s">
        <v>323</v>
      </c>
      <c r="B49" s="400"/>
      <c r="C49" s="390"/>
      <c r="D49" s="390"/>
      <c r="E49" s="390"/>
      <c r="F49" s="390"/>
      <c r="G49" s="390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</row>
    <row r="50" ht="30.75" customHeight="1">
      <c r="A50" s="392" t="s">
        <v>324</v>
      </c>
      <c r="B50" s="400"/>
      <c r="C50" s="390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</row>
    <row r="51" ht="30.75" customHeight="1">
      <c r="A51" s="392" t="s">
        <v>325</v>
      </c>
      <c r="B51" s="400"/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</row>
    <row r="52" ht="30.75" customHeight="1">
      <c r="A52" s="392" t="s">
        <v>315</v>
      </c>
      <c r="B52" s="40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</row>
    <row r="53" ht="30.75" customHeight="1">
      <c r="A53" s="392" t="s">
        <v>316</v>
      </c>
      <c r="B53" s="40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</row>
    <row r="54" ht="30.75" customHeight="1">
      <c r="A54" s="392" t="s">
        <v>317</v>
      </c>
      <c r="B54" s="40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</row>
    <row r="55" ht="30.75" customHeight="1">
      <c r="A55" s="392" t="s">
        <v>318</v>
      </c>
      <c r="B55" s="400"/>
      <c r="C55" s="390"/>
      <c r="D55" s="390"/>
      <c r="E55" s="390"/>
      <c r="F55" s="390"/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</row>
    <row r="56" ht="30.75" customHeight="1">
      <c r="A56" s="392" t="s">
        <v>312</v>
      </c>
      <c r="B56" s="400"/>
      <c r="C56" s="390"/>
      <c r="D56" s="390"/>
      <c r="E56" s="390"/>
      <c r="F56" s="390"/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</row>
    <row r="57" ht="30.75" customHeight="1">
      <c r="A57" s="392" t="s">
        <v>313</v>
      </c>
      <c r="B57" s="400"/>
      <c r="C57" s="390"/>
      <c r="D57" s="390"/>
      <c r="E57" s="390"/>
      <c r="F57" s="390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</row>
    <row r="58" ht="30.75" customHeight="1">
      <c r="A58" s="392" t="s">
        <v>314</v>
      </c>
      <c r="B58" s="40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</row>
    <row r="59" ht="30.75" customHeight="1">
      <c r="A59" s="392" t="s">
        <v>327</v>
      </c>
      <c r="B59" s="40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</row>
    <row r="60" ht="30.75" customHeight="1">
      <c r="A60" s="392" t="s">
        <v>328</v>
      </c>
      <c r="B60" s="40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</row>
    <row r="61" ht="30.75" customHeight="1">
      <c r="A61" s="392" t="s">
        <v>329</v>
      </c>
      <c r="B61" s="40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</row>
    <row r="62" ht="30.75" customHeight="1">
      <c r="A62" s="392" t="s">
        <v>330</v>
      </c>
      <c r="B62" s="400"/>
      <c r="C62" s="390"/>
      <c r="D62" s="390"/>
      <c r="E62" s="390"/>
      <c r="F62" s="390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</row>
    <row r="63" ht="30.75" customHeight="1">
      <c r="A63" s="392" t="s">
        <v>331</v>
      </c>
      <c r="B63" s="40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</row>
    <row r="64" ht="30.75" customHeight="1">
      <c r="A64" s="390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</row>
    <row r="65" ht="30.75" customHeight="1">
      <c r="A65" s="390"/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</row>
    <row r="66" ht="30.75" customHeight="1">
      <c r="A66" s="390"/>
      <c r="B66" s="390"/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</row>
    <row r="67" ht="30.75" customHeight="1">
      <c r="A67" s="390"/>
      <c r="B67" s="390"/>
      <c r="C67" s="390"/>
      <c r="D67" s="390"/>
      <c r="E67" s="390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</row>
    <row r="68" ht="30.75" customHeight="1">
      <c r="A68" s="390"/>
      <c r="B68" s="390"/>
      <c r="C68" s="390"/>
      <c r="D68" s="390"/>
      <c r="E68" s="390"/>
      <c r="F68" s="390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</row>
    <row r="69" ht="30.75" customHeight="1">
      <c r="A69" s="390"/>
      <c r="B69" s="390"/>
      <c r="C69" s="390"/>
      <c r="D69" s="390"/>
      <c r="E69" s="390"/>
      <c r="F69" s="390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</row>
    <row r="70" ht="30.75" customHeight="1">
      <c r="A70" s="390"/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</row>
    <row r="71" ht="30.75" customHeight="1">
      <c r="A71" s="390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</row>
    <row r="72" ht="30.75" customHeight="1">
      <c r="A72" s="390"/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</row>
    <row r="73" ht="30.75" customHeight="1">
      <c r="A73" s="390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</row>
    <row r="74" ht="30.75" customHeight="1">
      <c r="A74" s="390"/>
      <c r="B74" s="390"/>
      <c r="C74" s="390"/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</row>
    <row r="75" ht="30.75" customHeight="1">
      <c r="A75" s="390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</row>
    <row r="76" ht="30.75" customHeight="1">
      <c r="A76" s="390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</row>
    <row r="77" ht="30.75" customHeight="1">
      <c r="A77" s="390"/>
      <c r="B77" s="390"/>
      <c r="C77" s="390"/>
      <c r="D77" s="390"/>
      <c r="E77" s="390"/>
      <c r="F77" s="390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</row>
    <row r="78" ht="30.75" customHeight="1">
      <c r="A78" s="390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</row>
    <row r="79" ht="30.75" customHeight="1">
      <c r="A79" s="390"/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</row>
    <row r="80" ht="30.75" customHeight="1">
      <c r="A80" s="390"/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</row>
    <row r="81" ht="30.75" customHeight="1">
      <c r="A81" s="390"/>
      <c r="B81" s="390"/>
      <c r="C81" s="390"/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</row>
    <row r="82" ht="30.75" customHeight="1">
      <c r="A82" s="390"/>
      <c r="B82" s="390"/>
      <c r="C82" s="390"/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</row>
    <row r="83" ht="30.75" customHeight="1">
      <c r="A83" s="390"/>
      <c r="B83" s="390"/>
      <c r="C83" s="390"/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</row>
    <row r="84" ht="30.75" customHeight="1">
      <c r="A84" s="390"/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</row>
    <row r="85" ht="30.75" customHeight="1">
      <c r="A85" s="390"/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</row>
    <row r="86" ht="30.75" customHeight="1">
      <c r="A86" s="390"/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</row>
    <row r="87" ht="30.75" customHeight="1">
      <c r="A87" s="390"/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</row>
    <row r="88" ht="30.75" customHeight="1">
      <c r="A88" s="390"/>
      <c r="B88" s="390"/>
      <c r="C88" s="390"/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</row>
    <row r="89" ht="30.75" customHeight="1">
      <c r="A89" s="390"/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</row>
    <row r="90" ht="30.75" customHeight="1">
      <c r="A90" s="390"/>
      <c r="B90" s="390"/>
      <c r="C90" s="390"/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</row>
    <row r="91" ht="30.75" customHeight="1">
      <c r="A91" s="390"/>
      <c r="B91" s="390"/>
      <c r="C91" s="390"/>
      <c r="D91" s="390"/>
      <c r="E91" s="390"/>
      <c r="F91" s="390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</row>
    <row r="92" ht="30.75" customHeight="1">
      <c r="A92" s="390"/>
      <c r="B92" s="390"/>
      <c r="C92" s="390"/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</row>
    <row r="93" ht="30.75" customHeight="1">
      <c r="A93" s="390"/>
      <c r="B93" s="390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</row>
    <row r="94" ht="30.75" customHeight="1">
      <c r="A94" s="390"/>
      <c r="B94" s="390"/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</row>
    <row r="95" ht="30.75" customHeight="1">
      <c r="A95" s="390"/>
      <c r="B95" s="390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</row>
    <row r="96" ht="30.75" customHeight="1">
      <c r="A96" s="390"/>
      <c r="B96" s="390"/>
      <c r="C96" s="390"/>
      <c r="D96" s="390"/>
      <c r="E96" s="390"/>
      <c r="F96" s="390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</row>
    <row r="97" ht="30.75" customHeight="1">
      <c r="A97" s="390"/>
      <c r="B97" s="390"/>
      <c r="C97" s="390"/>
      <c r="D97" s="390"/>
      <c r="E97" s="390"/>
      <c r="F97" s="390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</row>
    <row r="98" ht="30.75" customHeight="1">
      <c r="A98" s="390"/>
      <c r="B98" s="390"/>
      <c r="C98" s="390"/>
      <c r="D98" s="390"/>
      <c r="E98" s="390"/>
      <c r="F98" s="390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</row>
    <row r="99" ht="30.75" customHeight="1">
      <c r="A99" s="390"/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</row>
    <row r="100" ht="30.75" customHeight="1">
      <c r="A100" s="390"/>
      <c r="B100" s="390"/>
      <c r="C100" s="390"/>
      <c r="D100" s="390"/>
      <c r="E100" s="390"/>
      <c r="F100" s="390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</row>
    <row r="101" ht="30.75" customHeight="1">
      <c r="A101" s="390"/>
      <c r="B101" s="390"/>
      <c r="C101" s="390"/>
      <c r="D101" s="390"/>
      <c r="E101" s="390"/>
      <c r="F101" s="390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</row>
    <row r="102" ht="30.75" customHeight="1">
      <c r="A102" s="390"/>
      <c r="B102" s="390"/>
      <c r="C102" s="390"/>
      <c r="D102" s="390"/>
      <c r="E102" s="390"/>
      <c r="F102" s="390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</row>
    <row r="103" ht="30.75" customHeight="1">
      <c r="A103" s="390"/>
      <c r="B103" s="390"/>
      <c r="C103" s="390"/>
      <c r="D103" s="390"/>
      <c r="E103" s="390"/>
      <c r="F103" s="390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</row>
    <row r="104" ht="30.75" customHeight="1">
      <c r="A104" s="390"/>
      <c r="B104" s="390"/>
      <c r="C104" s="390"/>
      <c r="D104" s="390"/>
      <c r="E104" s="390"/>
      <c r="F104" s="390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</row>
    <row r="105" ht="30.75" customHeight="1">
      <c r="A105" s="390"/>
      <c r="B105" s="390"/>
      <c r="C105" s="390"/>
      <c r="D105" s="390"/>
      <c r="E105" s="390"/>
      <c r="F105" s="390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</row>
    <row r="106" ht="30.75" customHeight="1">
      <c r="A106" s="390"/>
      <c r="B106" s="390"/>
      <c r="C106" s="390"/>
      <c r="D106" s="390"/>
      <c r="E106" s="390"/>
      <c r="F106" s="390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</row>
    <row r="107" ht="30.75" customHeight="1">
      <c r="A107" s="390"/>
      <c r="B107" s="390"/>
      <c r="C107" s="390"/>
      <c r="D107" s="390"/>
      <c r="E107" s="390"/>
      <c r="F107" s="390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</row>
    <row r="108" ht="30.75" customHeight="1">
      <c r="A108" s="390"/>
      <c r="B108" s="390"/>
      <c r="C108" s="390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</row>
    <row r="109" ht="30.75" customHeight="1">
      <c r="A109" s="390"/>
      <c r="B109" s="390"/>
      <c r="C109" s="390"/>
      <c r="D109" s="390"/>
      <c r="E109" s="390"/>
      <c r="F109" s="390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</row>
    <row r="110" ht="30.75" customHeight="1">
      <c r="A110" s="390"/>
      <c r="B110" s="390"/>
      <c r="C110" s="390"/>
      <c r="D110" s="390"/>
      <c r="E110" s="390"/>
      <c r="F110" s="390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</row>
    <row r="111" ht="30.75" customHeight="1">
      <c r="A111" s="390"/>
      <c r="B111" s="390"/>
      <c r="C111" s="390"/>
      <c r="D111" s="390"/>
      <c r="E111" s="390"/>
      <c r="F111" s="390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</row>
    <row r="112" ht="30.75" customHeight="1">
      <c r="A112" s="390"/>
      <c r="B112" s="390"/>
      <c r="C112" s="390"/>
      <c r="D112" s="390"/>
      <c r="E112" s="390"/>
      <c r="F112" s="390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</row>
    <row r="113" ht="30.75" customHeight="1">
      <c r="A113" s="390"/>
      <c r="B113" s="390"/>
      <c r="C113" s="390"/>
      <c r="D113" s="390"/>
      <c r="E113" s="390"/>
      <c r="F113" s="390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</row>
    <row r="114" ht="30.75" customHeight="1">
      <c r="A114" s="390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</row>
    <row r="115" ht="30.75" customHeight="1">
      <c r="A115" s="390"/>
      <c r="B115" s="390"/>
      <c r="C115" s="390"/>
      <c r="D115" s="390"/>
      <c r="E115" s="390"/>
      <c r="F115" s="390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</row>
    <row r="116" ht="30.75" customHeight="1">
      <c r="A116" s="390"/>
      <c r="B116" s="390"/>
      <c r="C116" s="390"/>
      <c r="D116" s="390"/>
      <c r="E116" s="390"/>
      <c r="F116" s="390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</row>
    <row r="117" ht="30.75" customHeight="1">
      <c r="A117" s="390"/>
      <c r="B117" s="390"/>
      <c r="C117" s="390"/>
      <c r="D117" s="390"/>
      <c r="E117" s="390"/>
      <c r="F117" s="390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</row>
    <row r="118" ht="30.75" customHeight="1">
      <c r="A118" s="390"/>
      <c r="B118" s="390"/>
      <c r="C118" s="390"/>
      <c r="D118" s="390"/>
      <c r="E118" s="390"/>
      <c r="F118" s="390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</row>
    <row r="119" ht="30.75" customHeight="1">
      <c r="A119" s="390"/>
      <c r="B119" s="390"/>
      <c r="C119" s="390"/>
      <c r="D119" s="390"/>
      <c r="E119" s="390"/>
      <c r="F119" s="390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</row>
    <row r="120" ht="30.75" customHeight="1">
      <c r="A120" s="390"/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</row>
    <row r="121" ht="30.75" customHeight="1">
      <c r="A121" s="390"/>
      <c r="B121" s="390"/>
      <c r="C121" s="390"/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</row>
    <row r="122" ht="30.75" customHeight="1">
      <c r="A122" s="390"/>
      <c r="B122" s="390"/>
      <c r="C122" s="390"/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</row>
    <row r="123" ht="30.75" customHeight="1">
      <c r="A123" s="390"/>
      <c r="B123" s="390"/>
      <c r="C123" s="390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</row>
    <row r="124" ht="30.75" customHeight="1">
      <c r="A124" s="390"/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</row>
    <row r="125" ht="30.75" customHeight="1">
      <c r="A125" s="390"/>
      <c r="B125" s="390"/>
      <c r="C125" s="390"/>
      <c r="D125" s="390"/>
      <c r="E125" s="390"/>
      <c r="F125" s="390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</row>
    <row r="126" ht="30.75" customHeight="1">
      <c r="A126" s="390"/>
      <c r="B126" s="390"/>
      <c r="C126" s="390"/>
      <c r="D126" s="390"/>
      <c r="E126" s="390"/>
      <c r="F126" s="390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</row>
    <row r="127" ht="30.75" customHeight="1">
      <c r="A127" s="390"/>
      <c r="B127" s="390"/>
      <c r="C127" s="390"/>
      <c r="D127" s="390"/>
      <c r="E127" s="390"/>
      <c r="F127" s="390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</row>
    <row r="128" ht="30.75" customHeight="1">
      <c r="A128" s="390"/>
      <c r="B128" s="390"/>
      <c r="C128" s="390"/>
      <c r="D128" s="390"/>
      <c r="E128" s="390"/>
      <c r="F128" s="390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</row>
    <row r="129" ht="30.75" customHeight="1">
      <c r="A129" s="390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</row>
    <row r="130" ht="30.75" customHeight="1">
      <c r="A130" s="390"/>
      <c r="B130" s="390"/>
      <c r="C130" s="390"/>
      <c r="D130" s="390"/>
      <c r="E130" s="390"/>
      <c r="F130" s="390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</row>
    <row r="131" ht="30.75" customHeight="1">
      <c r="A131" s="390"/>
      <c r="B131" s="390"/>
      <c r="C131" s="390"/>
      <c r="D131" s="390"/>
      <c r="E131" s="390"/>
      <c r="F131" s="390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</row>
    <row r="132" ht="30.75" customHeight="1">
      <c r="A132" s="390"/>
      <c r="B132" s="390"/>
      <c r="C132" s="390"/>
      <c r="D132" s="390"/>
      <c r="E132" s="390"/>
      <c r="F132" s="390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</row>
    <row r="133" ht="30.75" customHeight="1">
      <c r="A133" s="390"/>
      <c r="B133" s="390"/>
      <c r="C133" s="390"/>
      <c r="D133" s="390"/>
      <c r="E133" s="390"/>
      <c r="F133" s="390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</row>
    <row r="134" ht="30.75" customHeight="1">
      <c r="A134" s="390"/>
      <c r="B134" s="390"/>
      <c r="C134" s="390"/>
      <c r="D134" s="390"/>
      <c r="E134" s="390"/>
      <c r="F134" s="390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</row>
    <row r="135" ht="30.75" customHeight="1">
      <c r="A135" s="390"/>
      <c r="B135" s="390"/>
      <c r="C135" s="390"/>
      <c r="D135" s="390"/>
      <c r="E135" s="390"/>
      <c r="F135" s="390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</row>
    <row r="136" ht="30.75" customHeight="1">
      <c r="A136" s="390"/>
      <c r="B136" s="390"/>
      <c r="C136" s="390"/>
      <c r="D136" s="390"/>
      <c r="E136" s="390"/>
      <c r="F136" s="390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</row>
    <row r="137" ht="30.75" customHeight="1">
      <c r="A137" s="390"/>
      <c r="B137" s="390"/>
      <c r="C137" s="390"/>
      <c r="D137" s="390"/>
      <c r="E137" s="390"/>
      <c r="F137" s="390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</row>
    <row r="138" ht="30.75" customHeight="1">
      <c r="A138" s="390"/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</row>
    <row r="139" ht="30.75" customHeight="1">
      <c r="A139" s="390"/>
      <c r="B139" s="390"/>
      <c r="C139" s="390"/>
      <c r="D139" s="390"/>
      <c r="E139" s="390"/>
      <c r="F139" s="390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</row>
    <row r="140" ht="30.75" customHeight="1">
      <c r="A140" s="390"/>
      <c r="B140" s="390"/>
      <c r="C140" s="390"/>
      <c r="D140" s="390"/>
      <c r="E140" s="390"/>
      <c r="F140" s="390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</row>
    <row r="141" ht="30.75" customHeight="1">
      <c r="A141" s="390"/>
      <c r="B141" s="390"/>
      <c r="C141" s="390"/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</row>
    <row r="142" ht="30.75" customHeight="1">
      <c r="A142" s="390"/>
      <c r="B142" s="390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</row>
    <row r="143" ht="30.75" customHeight="1">
      <c r="A143" s="390"/>
      <c r="B143" s="390"/>
      <c r="C143" s="390"/>
      <c r="D143" s="390"/>
      <c r="E143" s="390"/>
      <c r="F143" s="390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</row>
    <row r="144" ht="30.75" customHeight="1">
      <c r="A144" s="390"/>
      <c r="B144" s="390"/>
      <c r="C144" s="390"/>
      <c r="D144" s="390"/>
      <c r="E144" s="390"/>
      <c r="F144" s="390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</row>
    <row r="145" ht="30.75" customHeight="1">
      <c r="A145" s="390"/>
      <c r="B145" s="390"/>
      <c r="C145" s="390"/>
      <c r="D145" s="390"/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</row>
    <row r="146" ht="30.75" customHeight="1">
      <c r="A146" s="390"/>
      <c r="B146" s="390"/>
      <c r="C146" s="390"/>
      <c r="D146" s="390"/>
      <c r="E146" s="390"/>
      <c r="F146" s="390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</row>
    <row r="147" ht="30.75" customHeight="1">
      <c r="A147" s="390"/>
      <c r="B147" s="390"/>
      <c r="C147" s="390"/>
      <c r="D147" s="390"/>
      <c r="E147" s="390"/>
      <c r="F147" s="390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</row>
    <row r="148" ht="30.75" customHeight="1">
      <c r="A148" s="390"/>
      <c r="B148" s="390"/>
      <c r="C148" s="390"/>
      <c r="D148" s="390"/>
      <c r="E148" s="390"/>
      <c r="F148" s="390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</row>
    <row r="149" ht="30.75" customHeight="1">
      <c r="A149" s="390"/>
      <c r="B149" s="390"/>
      <c r="C149" s="390"/>
      <c r="D149" s="390"/>
      <c r="E149" s="390"/>
      <c r="F149" s="390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</row>
    <row r="150" ht="30.75" customHeight="1">
      <c r="A150" s="390"/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</row>
    <row r="151" ht="30.75" customHeight="1">
      <c r="A151" s="390"/>
      <c r="B151" s="390"/>
      <c r="C151" s="390"/>
      <c r="D151" s="390"/>
      <c r="E151" s="390"/>
      <c r="F151" s="390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</row>
    <row r="152" ht="30.75" customHeight="1">
      <c r="A152" s="390"/>
      <c r="B152" s="390"/>
      <c r="C152" s="390"/>
      <c r="D152" s="390"/>
      <c r="E152" s="390"/>
      <c r="F152" s="390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</row>
    <row r="153" ht="30.75" customHeight="1">
      <c r="A153" s="390"/>
      <c r="B153" s="390"/>
      <c r="C153" s="390"/>
      <c r="D153" s="390"/>
      <c r="E153" s="390"/>
      <c r="F153" s="390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</row>
    <row r="154" ht="30.75" customHeight="1">
      <c r="A154" s="390"/>
      <c r="B154" s="390"/>
      <c r="C154" s="390"/>
      <c r="D154" s="390"/>
      <c r="E154" s="390"/>
      <c r="F154" s="390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</row>
    <row r="155" ht="30.75" customHeight="1">
      <c r="A155" s="390"/>
      <c r="B155" s="390"/>
      <c r="C155" s="390"/>
      <c r="D155" s="390"/>
      <c r="E155" s="390"/>
      <c r="F155" s="390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</row>
    <row r="156" ht="30.75" customHeight="1">
      <c r="A156" s="390"/>
      <c r="B156" s="390"/>
      <c r="C156" s="390"/>
      <c r="D156" s="390"/>
      <c r="E156" s="390"/>
      <c r="F156" s="390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</row>
    <row r="157" ht="30.75" customHeight="1">
      <c r="A157" s="390"/>
      <c r="B157" s="390"/>
      <c r="C157" s="390"/>
      <c r="D157" s="390"/>
      <c r="E157" s="390"/>
      <c r="F157" s="390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</row>
    <row r="158" ht="30.75" customHeight="1">
      <c r="A158" s="390"/>
      <c r="B158" s="390"/>
      <c r="C158" s="390"/>
      <c r="D158" s="390"/>
      <c r="E158" s="390"/>
      <c r="F158" s="390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</row>
    <row r="159" ht="30.75" customHeight="1">
      <c r="A159" s="390"/>
      <c r="B159" s="390"/>
      <c r="C159" s="390"/>
      <c r="D159" s="390"/>
      <c r="E159" s="390"/>
      <c r="F159" s="390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</row>
    <row r="160" ht="30.75" customHeight="1">
      <c r="A160" s="390"/>
      <c r="B160" s="390"/>
      <c r="C160" s="390"/>
      <c r="D160" s="390"/>
      <c r="E160" s="390"/>
      <c r="F160" s="390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</row>
    <row r="161" ht="30.75" customHeight="1">
      <c r="A161" s="390"/>
      <c r="B161" s="390"/>
      <c r="C161" s="390"/>
      <c r="D161" s="390"/>
      <c r="E161" s="390"/>
      <c r="F161" s="390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</row>
    <row r="162" ht="30.75" customHeight="1">
      <c r="A162" s="390"/>
      <c r="B162" s="390"/>
      <c r="C162" s="390"/>
      <c r="D162" s="390"/>
      <c r="E162" s="390"/>
      <c r="F162" s="390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</row>
    <row r="163" ht="30.75" customHeight="1">
      <c r="A163" s="390"/>
      <c r="B163" s="390"/>
      <c r="C163" s="390"/>
      <c r="D163" s="390"/>
      <c r="E163" s="390"/>
      <c r="F163" s="390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</row>
    <row r="164" ht="30.75" customHeight="1">
      <c r="A164" s="390"/>
      <c r="B164" s="390"/>
      <c r="C164" s="390"/>
      <c r="D164" s="390"/>
      <c r="E164" s="390"/>
      <c r="F164" s="390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</row>
    <row r="165" ht="30.75" customHeight="1">
      <c r="A165" s="390"/>
      <c r="B165" s="390"/>
      <c r="C165" s="390"/>
      <c r="D165" s="390"/>
      <c r="E165" s="390"/>
      <c r="F165" s="390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</row>
    <row r="166" ht="30.75" customHeight="1">
      <c r="A166" s="390"/>
      <c r="B166" s="390"/>
      <c r="C166" s="390"/>
      <c r="D166" s="390"/>
      <c r="E166" s="390"/>
      <c r="F166" s="390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</row>
    <row r="167" ht="30.75" customHeight="1">
      <c r="A167" s="390"/>
      <c r="B167" s="390"/>
      <c r="C167" s="390"/>
      <c r="D167" s="390"/>
      <c r="E167" s="390"/>
      <c r="F167" s="390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</row>
    <row r="168" ht="30.75" customHeight="1">
      <c r="A168" s="390"/>
      <c r="B168" s="390"/>
      <c r="C168" s="390"/>
      <c r="D168" s="390"/>
      <c r="E168" s="390"/>
      <c r="F168" s="390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</row>
    <row r="169" ht="30.75" customHeight="1">
      <c r="A169" s="390"/>
      <c r="B169" s="390"/>
      <c r="C169" s="390"/>
      <c r="D169" s="390"/>
      <c r="E169" s="390"/>
      <c r="F169" s="390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</row>
    <row r="170" ht="30.75" customHeight="1">
      <c r="A170" s="390"/>
      <c r="B170" s="390"/>
      <c r="C170" s="390"/>
      <c r="D170" s="390"/>
      <c r="E170" s="390"/>
      <c r="F170" s="390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</row>
    <row r="171" ht="30.75" customHeight="1">
      <c r="A171" s="390"/>
      <c r="B171" s="390"/>
      <c r="C171" s="390"/>
      <c r="D171" s="390"/>
      <c r="E171" s="390"/>
      <c r="F171" s="390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</row>
    <row r="172" ht="30.75" customHeight="1">
      <c r="A172" s="390"/>
      <c r="B172" s="390"/>
      <c r="C172" s="390"/>
      <c r="D172" s="390"/>
      <c r="E172" s="390"/>
      <c r="F172" s="390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</row>
    <row r="173" ht="30.75" customHeight="1">
      <c r="A173" s="390"/>
      <c r="B173" s="390"/>
      <c r="C173" s="390"/>
      <c r="D173" s="390"/>
      <c r="E173" s="390"/>
      <c r="F173" s="390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</row>
    <row r="174" ht="30.75" customHeight="1">
      <c r="A174" s="390"/>
      <c r="B174" s="390"/>
      <c r="C174" s="390"/>
      <c r="D174" s="390"/>
      <c r="E174" s="390"/>
      <c r="F174" s="390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</row>
    <row r="175" ht="30.75" customHeight="1">
      <c r="A175" s="390"/>
      <c r="B175" s="390"/>
      <c r="C175" s="390"/>
      <c r="D175" s="390"/>
      <c r="E175" s="390"/>
      <c r="F175" s="390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</row>
    <row r="176" ht="30.75" customHeight="1">
      <c r="A176" s="390"/>
      <c r="B176" s="390"/>
      <c r="C176" s="390"/>
      <c r="D176" s="390"/>
      <c r="E176" s="390"/>
      <c r="F176" s="390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</row>
    <row r="177" ht="30.75" customHeight="1">
      <c r="A177" s="390"/>
      <c r="B177" s="390"/>
      <c r="C177" s="390"/>
      <c r="D177" s="390"/>
      <c r="E177" s="390"/>
      <c r="F177" s="390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</row>
    <row r="178" ht="30.75" customHeight="1">
      <c r="A178" s="390"/>
      <c r="B178" s="390"/>
      <c r="C178" s="390"/>
      <c r="D178" s="390"/>
      <c r="E178" s="390"/>
      <c r="F178" s="390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</row>
    <row r="179" ht="30.75" customHeight="1">
      <c r="A179" s="390"/>
      <c r="B179" s="390"/>
      <c r="C179" s="390"/>
      <c r="D179" s="390"/>
      <c r="E179" s="390"/>
      <c r="F179" s="390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</row>
    <row r="180" ht="30.75" customHeight="1">
      <c r="A180" s="390"/>
      <c r="B180" s="390"/>
      <c r="C180" s="390"/>
      <c r="D180" s="390"/>
      <c r="E180" s="390"/>
      <c r="F180" s="390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</row>
    <row r="181" ht="30.75" customHeight="1">
      <c r="A181" s="390"/>
      <c r="B181" s="390"/>
      <c r="C181" s="390"/>
      <c r="D181" s="390"/>
      <c r="E181" s="390"/>
      <c r="F181" s="390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</row>
    <row r="182" ht="30.75" customHeight="1">
      <c r="A182" s="390"/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</row>
    <row r="183" ht="30.75" customHeight="1">
      <c r="A183" s="390"/>
      <c r="B183" s="390"/>
      <c r="C183" s="390"/>
      <c r="D183" s="390"/>
      <c r="E183" s="390"/>
      <c r="F183" s="390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</row>
    <row r="184" ht="30.75" customHeight="1">
      <c r="A184" s="390"/>
      <c r="B184" s="390"/>
      <c r="C184" s="390"/>
      <c r="D184" s="390"/>
      <c r="E184" s="390"/>
      <c r="F184" s="390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</row>
    <row r="185" ht="30.75" customHeight="1">
      <c r="A185" s="390"/>
      <c r="B185" s="390"/>
      <c r="C185" s="390"/>
      <c r="D185" s="390"/>
      <c r="E185" s="390"/>
      <c r="F185" s="390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</row>
    <row r="186" ht="30.75" customHeight="1">
      <c r="A186" s="390"/>
      <c r="B186" s="390"/>
      <c r="C186" s="390"/>
      <c r="D186" s="390"/>
      <c r="E186" s="390"/>
      <c r="F186" s="390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</row>
    <row r="187" ht="30.75" customHeight="1">
      <c r="A187" s="390"/>
      <c r="B187" s="390"/>
      <c r="C187" s="390"/>
      <c r="D187" s="390"/>
      <c r="E187" s="390"/>
      <c r="F187" s="390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</row>
    <row r="188" ht="30.75" customHeight="1">
      <c r="A188" s="390"/>
      <c r="B188" s="390"/>
      <c r="C188" s="390"/>
      <c r="D188" s="390"/>
      <c r="E188" s="390"/>
      <c r="F188" s="390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</row>
    <row r="189" ht="30.75" customHeight="1">
      <c r="A189" s="390"/>
      <c r="B189" s="390"/>
      <c r="C189" s="390"/>
      <c r="D189" s="390"/>
      <c r="E189" s="390"/>
      <c r="F189" s="390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</row>
    <row r="190" ht="30.75" customHeight="1">
      <c r="A190" s="390"/>
      <c r="B190" s="390"/>
      <c r="C190" s="390"/>
      <c r="D190" s="390"/>
      <c r="E190" s="390"/>
      <c r="F190" s="390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</row>
    <row r="191" ht="30.75" customHeight="1">
      <c r="A191" s="390"/>
      <c r="B191" s="390"/>
      <c r="C191" s="390"/>
      <c r="D191" s="390"/>
      <c r="E191" s="390"/>
      <c r="F191" s="390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</row>
    <row r="192" ht="30.75" customHeight="1">
      <c r="A192" s="390"/>
      <c r="B192" s="390"/>
      <c r="C192" s="390"/>
      <c r="D192" s="390"/>
      <c r="E192" s="390"/>
      <c r="F192" s="390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</row>
    <row r="193" ht="30.75" customHeight="1">
      <c r="A193" s="390"/>
      <c r="B193" s="390"/>
      <c r="C193" s="390"/>
      <c r="D193" s="390"/>
      <c r="E193" s="390"/>
      <c r="F193" s="390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</row>
    <row r="194" ht="30.75" customHeight="1">
      <c r="A194" s="390"/>
      <c r="B194" s="390"/>
      <c r="C194" s="390"/>
      <c r="D194" s="390"/>
      <c r="E194" s="390"/>
      <c r="F194" s="390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</row>
    <row r="195" ht="30.75" customHeight="1">
      <c r="A195" s="390"/>
      <c r="B195" s="390"/>
      <c r="C195" s="390"/>
      <c r="D195" s="390"/>
      <c r="E195" s="390"/>
      <c r="F195" s="390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</row>
    <row r="196" ht="30.75" customHeight="1">
      <c r="A196" s="390"/>
      <c r="B196" s="390"/>
      <c r="C196" s="390"/>
      <c r="D196" s="390"/>
      <c r="E196" s="390"/>
      <c r="F196" s="390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</row>
    <row r="197" ht="30.75" customHeight="1">
      <c r="A197" s="390"/>
      <c r="B197" s="390"/>
      <c r="C197" s="390"/>
      <c r="D197" s="390"/>
      <c r="E197" s="390"/>
      <c r="F197" s="390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</row>
    <row r="198" ht="30.75" customHeight="1">
      <c r="A198" s="390"/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</row>
    <row r="199" ht="30.75" customHeight="1">
      <c r="A199" s="390"/>
      <c r="B199" s="390"/>
      <c r="C199" s="390"/>
      <c r="D199" s="390"/>
      <c r="E199" s="390"/>
      <c r="F199" s="390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</row>
    <row r="200" ht="30.75" customHeight="1">
      <c r="A200" s="390"/>
      <c r="B200" s="390"/>
      <c r="C200" s="390"/>
      <c r="D200" s="390"/>
      <c r="E200" s="390"/>
      <c r="F200" s="390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</row>
    <row r="201" ht="30.75" customHeight="1">
      <c r="A201" s="390"/>
      <c r="B201" s="390"/>
      <c r="C201" s="390"/>
      <c r="D201" s="390"/>
      <c r="E201" s="390"/>
      <c r="F201" s="390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</row>
    <row r="202" ht="30.75" customHeight="1">
      <c r="A202" s="390"/>
      <c r="B202" s="390"/>
      <c r="C202" s="390"/>
      <c r="D202" s="390"/>
      <c r="E202" s="390"/>
      <c r="F202" s="390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</row>
    <row r="203" ht="30.75" customHeight="1">
      <c r="A203" s="390"/>
      <c r="B203" s="390"/>
      <c r="C203" s="390"/>
      <c r="D203" s="390"/>
      <c r="E203" s="390"/>
      <c r="F203" s="390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</row>
    <row r="204" ht="30.75" customHeight="1">
      <c r="A204" s="390"/>
      <c r="B204" s="390"/>
      <c r="C204" s="390"/>
      <c r="D204" s="390"/>
      <c r="E204" s="390"/>
      <c r="F204" s="390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</row>
    <row r="205" ht="30.75" customHeight="1">
      <c r="A205" s="390"/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</row>
    <row r="206" ht="30.75" customHeight="1">
      <c r="A206" s="390"/>
      <c r="B206" s="390"/>
      <c r="C206" s="390"/>
      <c r="D206" s="390"/>
      <c r="E206" s="390"/>
      <c r="F206" s="390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</row>
    <row r="207" ht="30.75" customHeight="1">
      <c r="A207" s="390"/>
      <c r="B207" s="390"/>
      <c r="C207" s="390"/>
      <c r="D207" s="390"/>
      <c r="E207" s="390"/>
      <c r="F207" s="390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</row>
    <row r="208" ht="30.75" customHeight="1">
      <c r="A208" s="390"/>
      <c r="B208" s="390"/>
      <c r="C208" s="390"/>
      <c r="D208" s="390"/>
      <c r="E208" s="390"/>
      <c r="F208" s="390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</row>
    <row r="209" ht="30.75" customHeight="1">
      <c r="A209" s="390"/>
      <c r="B209" s="390"/>
      <c r="C209" s="390"/>
      <c r="D209" s="390"/>
      <c r="E209" s="390"/>
      <c r="F209" s="390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</row>
    <row r="210" ht="30.75" customHeight="1">
      <c r="A210" s="390"/>
      <c r="B210" s="390"/>
      <c r="C210" s="390"/>
      <c r="D210" s="390"/>
      <c r="E210" s="390"/>
      <c r="F210" s="390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</row>
    <row r="211" ht="30.75" customHeight="1">
      <c r="A211" s="390"/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</row>
    <row r="212" ht="30.75" customHeight="1">
      <c r="A212" s="390"/>
      <c r="B212" s="390"/>
      <c r="C212" s="390"/>
      <c r="D212" s="390"/>
      <c r="E212" s="390"/>
      <c r="F212" s="390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</row>
    <row r="213" ht="30.75" customHeight="1">
      <c r="A213" s="390"/>
      <c r="B213" s="390"/>
      <c r="C213" s="390"/>
      <c r="D213" s="390"/>
      <c r="E213" s="390"/>
      <c r="F213" s="390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</row>
    <row r="214" ht="30.75" customHeight="1">
      <c r="A214" s="390"/>
      <c r="B214" s="390"/>
      <c r="C214" s="390"/>
      <c r="D214" s="390"/>
      <c r="E214" s="390"/>
      <c r="F214" s="390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</row>
    <row r="215" ht="30.75" customHeight="1">
      <c r="A215" s="390"/>
      <c r="B215" s="390"/>
      <c r="C215" s="390"/>
      <c r="D215" s="390"/>
      <c r="E215" s="390"/>
      <c r="F215" s="390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</row>
    <row r="216" ht="30.75" customHeight="1">
      <c r="A216" s="390"/>
      <c r="B216" s="390"/>
      <c r="C216" s="390"/>
      <c r="D216" s="390"/>
      <c r="E216" s="390"/>
      <c r="F216" s="390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</row>
    <row r="217" ht="30.75" customHeight="1">
      <c r="A217" s="390"/>
      <c r="B217" s="390"/>
      <c r="C217" s="390"/>
      <c r="D217" s="390"/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</row>
    <row r="218" ht="30.75" customHeight="1">
      <c r="A218" s="390"/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</row>
    <row r="219" ht="30.75" customHeight="1">
      <c r="C219" s="390"/>
      <c r="D219" s="390"/>
      <c r="E219" s="390"/>
      <c r="F219" s="390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52.57"/>
    <col customWidth="1" min="3" max="3" width="13.14"/>
    <col customWidth="1" min="4" max="5" width="34.43"/>
    <col customWidth="1" min="6" max="22" width="33.43"/>
  </cols>
  <sheetData>
    <row r="1" ht="18.75" customHeight="1">
      <c r="A1" s="389" t="s">
        <v>285</v>
      </c>
      <c r="B1" s="63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</row>
    <row r="2" ht="27.0" customHeight="1">
      <c r="A2" s="393" t="s">
        <v>290</v>
      </c>
      <c r="B2" s="394">
        <f>'CE (ООО)'!X279</f>
        <v>2198648.995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</row>
    <row r="3" ht="27.0" customHeight="1">
      <c r="A3" s="395" t="s">
        <v>291</v>
      </c>
      <c r="B3" s="394">
        <f>'CE (ООО)'!AA279</f>
        <v>94678.66484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</row>
    <row r="4" ht="27.0" customHeight="1">
      <c r="A4" s="392" t="s">
        <v>292</v>
      </c>
      <c r="B4" s="394">
        <f>'CE (ООО)'!M279</f>
        <v>2582186.231</v>
      </c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</row>
    <row r="5" ht="27.0" customHeight="1">
      <c r="A5" s="392" t="s">
        <v>293</v>
      </c>
      <c r="B5" s="394">
        <f>'CE (ООО)'!M281</f>
        <v>3150267.202</v>
      </c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</row>
    <row r="6" ht="27.0" customHeight="1">
      <c r="A6" s="393" t="s">
        <v>294</v>
      </c>
      <c r="B6" s="396">
        <f>(B4-B2)/B4</f>
        <v>0.148531981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</row>
    <row r="7" ht="27.0" customHeight="1">
      <c r="A7" s="395" t="s">
        <v>295</v>
      </c>
      <c r="B7" s="396">
        <f>'CE (ООО)'!AA284</f>
        <v>0.9633339131</v>
      </c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</row>
    <row r="8" ht="27.0" customHeight="1">
      <c r="A8" s="392" t="s">
        <v>296</v>
      </c>
      <c r="B8" s="397"/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</row>
    <row r="9" ht="27.0" customHeight="1">
      <c r="A9" s="392" t="s">
        <v>335</v>
      </c>
      <c r="B9" s="392"/>
      <c r="C9" s="390"/>
      <c r="D9" s="390"/>
      <c r="E9" s="390"/>
      <c r="F9" s="390"/>
      <c r="G9" s="390"/>
      <c r="H9" s="390"/>
      <c r="I9" s="390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</row>
    <row r="10" ht="27.0" customHeight="1">
      <c r="A10" s="392" t="s">
        <v>336</v>
      </c>
      <c r="B10" s="40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</row>
    <row r="11" ht="27.0" customHeight="1">
      <c r="A11" s="391" t="s">
        <v>337</v>
      </c>
      <c r="B11" s="400"/>
      <c r="C11" s="390"/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</row>
    <row r="12" ht="27.0" customHeight="1">
      <c r="A12" s="392" t="s">
        <v>338</v>
      </c>
      <c r="B12" s="400"/>
      <c r="C12" s="390"/>
      <c r="D12" s="390"/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</row>
    <row r="13" ht="27.0" customHeight="1">
      <c r="A13" s="392" t="s">
        <v>309</v>
      </c>
      <c r="B13" s="400"/>
      <c r="C13" s="390"/>
      <c r="D13" s="390"/>
      <c r="E13" s="390"/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</row>
    <row r="14" ht="27.0" customHeight="1">
      <c r="A14" s="392" t="s">
        <v>310</v>
      </c>
      <c r="B14" s="400"/>
      <c r="C14" s="390"/>
      <c r="D14" s="390"/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390"/>
      <c r="P14" s="390"/>
      <c r="Q14" s="390"/>
      <c r="R14" s="390"/>
      <c r="S14" s="390"/>
      <c r="T14" s="390"/>
      <c r="U14" s="390"/>
      <c r="V14" s="390"/>
    </row>
    <row r="15" ht="27.0" customHeight="1">
      <c r="A15" s="392" t="s">
        <v>311</v>
      </c>
      <c r="B15" s="400"/>
      <c r="C15" s="390"/>
      <c r="D15" s="390"/>
      <c r="E15" s="390"/>
      <c r="F15" s="390"/>
      <c r="G15" s="390"/>
      <c r="H15" s="390"/>
      <c r="I15" s="390"/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</row>
    <row r="16" ht="27.0" customHeight="1">
      <c r="A16" s="392" t="s">
        <v>312</v>
      </c>
      <c r="B16" s="40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</row>
    <row r="17" ht="27.0" customHeight="1">
      <c r="A17" s="392" t="s">
        <v>313</v>
      </c>
      <c r="B17" s="400"/>
      <c r="C17" s="390"/>
      <c r="D17" s="390"/>
      <c r="E17" s="390"/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</row>
    <row r="18" ht="27.0" customHeight="1">
      <c r="A18" s="392" t="s">
        <v>314</v>
      </c>
      <c r="B18" s="400"/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390"/>
      <c r="Q18" s="390"/>
      <c r="R18" s="390"/>
      <c r="S18" s="390"/>
      <c r="T18" s="390"/>
      <c r="U18" s="390"/>
      <c r="V18" s="390"/>
    </row>
    <row r="19" ht="27.0" customHeight="1">
      <c r="A19" s="391" t="s">
        <v>315</v>
      </c>
      <c r="B19" s="400"/>
      <c r="C19" s="390"/>
      <c r="D19" s="390"/>
      <c r="E19" s="390"/>
      <c r="F19" s="390"/>
      <c r="G19" s="390"/>
      <c r="H19" s="390"/>
      <c r="I19" s="390"/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  <c r="U19" s="390"/>
      <c r="V19" s="390"/>
    </row>
    <row r="20" ht="27.0" customHeight="1">
      <c r="A20" s="392" t="s">
        <v>339</v>
      </c>
      <c r="B20" s="40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</row>
    <row r="21" ht="27.0" customHeight="1">
      <c r="A21" s="392" t="s">
        <v>316</v>
      </c>
      <c r="B21" s="400"/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</row>
    <row r="22" ht="27.0" customHeight="1">
      <c r="A22" s="392" t="s">
        <v>317</v>
      </c>
      <c r="B22" s="400"/>
      <c r="C22" s="390"/>
      <c r="D22" s="390"/>
      <c r="E22" s="390"/>
      <c r="F22" s="390"/>
      <c r="G22" s="390"/>
      <c r="H22" s="390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  <c r="U22" s="390"/>
      <c r="V22" s="390"/>
    </row>
    <row r="23" ht="27.0" customHeight="1">
      <c r="A23" s="392" t="s">
        <v>318</v>
      </c>
      <c r="B23" s="40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</row>
    <row r="24" ht="27.0" customHeight="1">
      <c r="A24" s="399" t="s">
        <v>319</v>
      </c>
      <c r="B24" s="400"/>
      <c r="C24" s="390"/>
      <c r="D24" s="390"/>
      <c r="E24" s="390"/>
      <c r="F24" s="390"/>
      <c r="G24" s="390"/>
      <c r="H24" s="390"/>
      <c r="I24" s="390"/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  <c r="U24" s="390"/>
      <c r="V24" s="390"/>
    </row>
    <row r="25" ht="27.0" customHeight="1">
      <c r="A25" s="392" t="s">
        <v>303</v>
      </c>
      <c r="B25" s="400"/>
      <c r="C25" s="390"/>
      <c r="D25" s="390"/>
      <c r="E25" s="390"/>
      <c r="F25" s="390"/>
      <c r="G25" s="390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</row>
    <row r="26" ht="27.0" customHeight="1">
      <c r="A26" s="392" t="s">
        <v>320</v>
      </c>
      <c r="B26" s="40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</row>
    <row r="27" ht="27.0" customHeight="1">
      <c r="A27" s="392" t="s">
        <v>315</v>
      </c>
      <c r="B27" s="400"/>
      <c r="C27" s="390"/>
      <c r="D27" s="390"/>
      <c r="E27" s="390"/>
      <c r="F27" s="390"/>
      <c r="G27" s="390"/>
      <c r="H27" s="390"/>
      <c r="I27" s="390"/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</row>
    <row r="28" ht="27.0" customHeight="1">
      <c r="A28" s="392" t="s">
        <v>339</v>
      </c>
      <c r="B28" s="40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</row>
    <row r="29" ht="27.0" customHeight="1">
      <c r="A29" s="392" t="s">
        <v>316</v>
      </c>
      <c r="B29" s="400"/>
      <c r="C29" s="390"/>
      <c r="D29" s="390"/>
      <c r="E29" s="390"/>
      <c r="F29" s="390"/>
      <c r="G29" s="390"/>
      <c r="H29" s="390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90"/>
      <c r="T29" s="390"/>
      <c r="U29" s="390"/>
      <c r="V29" s="390"/>
    </row>
    <row r="30" ht="27.0" customHeight="1">
      <c r="A30" s="392" t="s">
        <v>317</v>
      </c>
      <c r="B30" s="400"/>
      <c r="C30" s="390"/>
      <c r="D30" s="390"/>
      <c r="E30" s="390"/>
      <c r="F30" s="390"/>
      <c r="G30" s="390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</row>
    <row r="31" ht="27.0" customHeight="1">
      <c r="A31" s="392" t="s">
        <v>318</v>
      </c>
      <c r="B31" s="400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</row>
    <row r="32" ht="27.0" customHeight="1">
      <c r="A32" s="399" t="s">
        <v>321</v>
      </c>
      <c r="B32" s="400"/>
      <c r="C32" s="390"/>
      <c r="D32" s="390"/>
      <c r="E32" s="390"/>
      <c r="F32" s="390"/>
      <c r="G32" s="390"/>
      <c r="H32" s="390"/>
      <c r="I32" s="390"/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</row>
    <row r="33" ht="27.0" customHeight="1">
      <c r="A33" s="392" t="s">
        <v>303</v>
      </c>
      <c r="B33" s="400"/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</row>
    <row r="34" ht="27.0" customHeight="1">
      <c r="A34" s="392" t="s">
        <v>302</v>
      </c>
      <c r="B34" s="400"/>
      <c r="C34" s="390"/>
      <c r="D34" s="390"/>
      <c r="E34" s="390"/>
      <c r="F34" s="390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0"/>
      <c r="V34" s="390"/>
    </row>
    <row r="35" ht="27.0" customHeight="1">
      <c r="A35" s="392" t="s">
        <v>303</v>
      </c>
      <c r="B35" s="400"/>
      <c r="C35" s="390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</row>
    <row r="36" ht="27.0" customHeight="1">
      <c r="A36" s="392" t="s">
        <v>322</v>
      </c>
      <c r="B36" s="400"/>
      <c r="C36" s="390"/>
      <c r="D36" s="390"/>
      <c r="E36" s="390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</row>
    <row r="37" ht="27.0" customHeight="1">
      <c r="A37" s="392" t="s">
        <v>323</v>
      </c>
      <c r="B37" s="400"/>
      <c r="C37" s="390"/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</row>
    <row r="38" ht="27.0" customHeight="1">
      <c r="A38" s="392" t="s">
        <v>324</v>
      </c>
      <c r="B38" s="400"/>
      <c r="C38" s="390"/>
      <c r="D38" s="390"/>
      <c r="E38" s="390"/>
      <c r="F38" s="390"/>
      <c r="G38" s="390"/>
      <c r="H38" s="390"/>
      <c r="I38" s="390"/>
      <c r="J38" s="390"/>
      <c r="K38" s="390"/>
      <c r="L38" s="390"/>
      <c r="M38" s="390"/>
      <c r="N38" s="390"/>
      <c r="O38" s="390"/>
      <c r="P38" s="390"/>
      <c r="Q38" s="390"/>
      <c r="R38" s="390"/>
      <c r="S38" s="390"/>
      <c r="T38" s="390"/>
      <c r="U38" s="390"/>
      <c r="V38" s="390"/>
    </row>
    <row r="39" ht="27.0" customHeight="1">
      <c r="A39" s="392" t="s">
        <v>325</v>
      </c>
      <c r="B39" s="400"/>
      <c r="C39" s="390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</row>
    <row r="40" ht="27.0" customHeight="1">
      <c r="A40" s="392" t="s">
        <v>315</v>
      </c>
      <c r="B40" s="400"/>
      <c r="C40" s="390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</row>
    <row r="41" ht="27.0" customHeight="1">
      <c r="A41" s="392" t="s">
        <v>316</v>
      </c>
      <c r="B41" s="40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</row>
    <row r="42" ht="27.0" customHeight="1">
      <c r="A42" s="392" t="s">
        <v>339</v>
      </c>
      <c r="B42" s="40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0"/>
      <c r="O42" s="390"/>
      <c r="P42" s="390"/>
      <c r="Q42" s="390"/>
      <c r="R42" s="390"/>
      <c r="S42" s="390"/>
      <c r="T42" s="390"/>
      <c r="U42" s="390"/>
      <c r="V42" s="390"/>
    </row>
    <row r="43" ht="27.0" customHeight="1">
      <c r="A43" s="392" t="s">
        <v>317</v>
      </c>
      <c r="B43" s="400"/>
      <c r="C43" s="390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</row>
    <row r="44" ht="27.0" customHeight="1">
      <c r="A44" s="392" t="s">
        <v>318</v>
      </c>
      <c r="B44" s="40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</row>
    <row r="45" ht="30.75" customHeight="1">
      <c r="A45" s="390"/>
      <c r="B45" s="39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</row>
    <row r="46" ht="30.75" customHeight="1">
      <c r="A46" s="390"/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</row>
    <row r="47" ht="30.75" customHeight="1">
      <c r="A47" s="390"/>
      <c r="B47" s="390"/>
      <c r="C47" s="390"/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</row>
    <row r="48" ht="30.75" customHeight="1">
      <c r="A48" s="390"/>
      <c r="B48" s="390"/>
      <c r="C48" s="390"/>
      <c r="D48" s="390"/>
      <c r="E48" s="390"/>
      <c r="F48" s="390"/>
      <c r="G48" s="390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</row>
    <row r="49" ht="30.75" customHeight="1">
      <c r="A49" s="390"/>
      <c r="B49" s="390"/>
      <c r="C49" s="390"/>
      <c r="D49" s="390"/>
      <c r="E49" s="390"/>
      <c r="F49" s="390"/>
      <c r="G49" s="390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</row>
    <row r="50" ht="30.75" customHeight="1">
      <c r="A50" s="390"/>
      <c r="B50" s="390"/>
      <c r="C50" s="390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</row>
    <row r="51" ht="30.75" customHeight="1">
      <c r="A51" s="390"/>
      <c r="B51" s="390"/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</row>
    <row r="52" ht="30.75" customHeight="1">
      <c r="A52" s="390"/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</row>
    <row r="53" ht="30.75" customHeight="1">
      <c r="A53" s="390"/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</row>
    <row r="54" ht="30.75" customHeight="1">
      <c r="A54" s="390"/>
      <c r="B54" s="39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</row>
    <row r="55" ht="30.75" customHeight="1">
      <c r="A55" s="390"/>
      <c r="B55" s="390"/>
      <c r="C55" s="390"/>
      <c r="D55" s="390"/>
      <c r="E55" s="390"/>
      <c r="F55" s="390"/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</row>
    <row r="56" ht="30.75" customHeight="1">
      <c r="A56" s="390"/>
      <c r="B56" s="390"/>
      <c r="C56" s="390"/>
      <c r="D56" s="390"/>
      <c r="E56" s="390"/>
      <c r="F56" s="390"/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</row>
    <row r="57" ht="30.75" customHeight="1">
      <c r="A57" s="390"/>
      <c r="B57" s="390"/>
      <c r="C57" s="390"/>
      <c r="D57" s="390"/>
      <c r="E57" s="390"/>
      <c r="F57" s="390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</row>
    <row r="58" ht="30.75" customHeight="1">
      <c r="A58" s="390"/>
      <c r="B58" s="39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</row>
    <row r="59" ht="30.75" customHeight="1">
      <c r="A59" s="390"/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</row>
    <row r="60" ht="30.75" customHeight="1">
      <c r="A60" s="390"/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</row>
    <row r="61" ht="30.75" customHeight="1">
      <c r="A61" s="390"/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</row>
    <row r="62" ht="30.75" customHeight="1">
      <c r="A62" s="390"/>
      <c r="B62" s="390"/>
      <c r="C62" s="390"/>
      <c r="D62" s="390"/>
      <c r="E62" s="390"/>
      <c r="F62" s="390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</row>
    <row r="63" ht="30.75" customHeight="1">
      <c r="A63" s="390"/>
      <c r="B63" s="39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</row>
    <row r="64" ht="30.75" customHeight="1">
      <c r="A64" s="390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</row>
    <row r="65" ht="30.75" customHeight="1">
      <c r="A65" s="390"/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</row>
    <row r="66" ht="30.75" customHeight="1">
      <c r="A66" s="390"/>
      <c r="B66" s="390"/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</row>
    <row r="67" ht="30.75" customHeight="1">
      <c r="A67" s="390"/>
      <c r="B67" s="390"/>
      <c r="C67" s="390"/>
      <c r="D67" s="390"/>
      <c r="E67" s="390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</row>
    <row r="68" ht="30.75" customHeight="1">
      <c r="A68" s="390"/>
      <c r="B68" s="390"/>
      <c r="C68" s="390"/>
      <c r="D68" s="390"/>
      <c r="E68" s="390"/>
      <c r="F68" s="390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</row>
    <row r="69" ht="30.75" customHeight="1">
      <c r="A69" s="390"/>
      <c r="B69" s="390"/>
      <c r="C69" s="390"/>
      <c r="D69" s="390"/>
      <c r="E69" s="390"/>
      <c r="F69" s="390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</row>
    <row r="70" ht="30.75" customHeight="1">
      <c r="A70" s="390"/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</row>
    <row r="71" ht="30.75" customHeight="1">
      <c r="A71" s="390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</row>
    <row r="72" ht="30.75" customHeight="1">
      <c r="A72" s="390"/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</row>
    <row r="73" ht="30.75" customHeight="1">
      <c r="A73" s="390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</row>
    <row r="74" ht="30.75" customHeight="1">
      <c r="A74" s="390"/>
      <c r="B74" s="390"/>
      <c r="C74" s="390"/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</row>
    <row r="75" ht="30.75" customHeight="1">
      <c r="A75" s="390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</row>
    <row r="76" ht="30.75" customHeight="1">
      <c r="A76" s="390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</row>
    <row r="77" ht="30.75" customHeight="1">
      <c r="A77" s="390"/>
      <c r="B77" s="390"/>
      <c r="C77" s="390"/>
      <c r="D77" s="390"/>
      <c r="E77" s="390"/>
      <c r="F77" s="390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</row>
    <row r="78" ht="30.75" customHeight="1">
      <c r="A78" s="390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</row>
    <row r="79" ht="30.75" customHeight="1">
      <c r="A79" s="390"/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</row>
    <row r="80" ht="30.75" customHeight="1">
      <c r="A80" s="390"/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</row>
    <row r="81" ht="30.75" customHeight="1">
      <c r="A81" s="390"/>
      <c r="B81" s="390"/>
      <c r="C81" s="390"/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</row>
    <row r="82" ht="30.75" customHeight="1">
      <c r="A82" s="390"/>
      <c r="B82" s="390"/>
      <c r="C82" s="390"/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</row>
    <row r="83" ht="30.75" customHeight="1">
      <c r="A83" s="390"/>
      <c r="B83" s="390"/>
      <c r="C83" s="390"/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</row>
    <row r="84" ht="30.75" customHeight="1">
      <c r="A84" s="390"/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</row>
    <row r="85" ht="30.75" customHeight="1">
      <c r="A85" s="390"/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</row>
    <row r="86" ht="30.75" customHeight="1">
      <c r="A86" s="390"/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</row>
    <row r="87" ht="30.75" customHeight="1">
      <c r="A87" s="390"/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</row>
    <row r="88" ht="30.75" customHeight="1">
      <c r="A88" s="390"/>
      <c r="B88" s="390"/>
      <c r="C88" s="390"/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</row>
    <row r="89" ht="30.75" customHeight="1">
      <c r="A89" s="390"/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</row>
    <row r="90" ht="30.75" customHeight="1">
      <c r="A90" s="390"/>
      <c r="B90" s="390"/>
      <c r="C90" s="390"/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</row>
    <row r="91" ht="30.75" customHeight="1">
      <c r="A91" s="390"/>
      <c r="B91" s="390"/>
      <c r="C91" s="390"/>
      <c r="D91" s="390"/>
      <c r="E91" s="390"/>
      <c r="F91" s="390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</row>
    <row r="92" ht="30.75" customHeight="1">
      <c r="A92" s="390"/>
      <c r="B92" s="390"/>
      <c r="C92" s="390"/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</row>
    <row r="93" ht="30.75" customHeight="1">
      <c r="A93" s="390"/>
      <c r="B93" s="390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</row>
    <row r="94" ht="30.75" customHeight="1">
      <c r="A94" s="390"/>
      <c r="B94" s="390"/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</row>
    <row r="95" ht="30.75" customHeight="1">
      <c r="A95" s="390"/>
      <c r="B95" s="390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</row>
    <row r="96" ht="30.75" customHeight="1">
      <c r="A96" s="390"/>
      <c r="B96" s="390"/>
      <c r="C96" s="390"/>
      <c r="D96" s="390"/>
      <c r="E96" s="390"/>
      <c r="F96" s="390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</row>
    <row r="97" ht="30.75" customHeight="1">
      <c r="A97" s="390"/>
      <c r="B97" s="390"/>
      <c r="C97" s="390"/>
      <c r="D97" s="390"/>
      <c r="E97" s="390"/>
      <c r="F97" s="390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</row>
    <row r="98" ht="30.75" customHeight="1">
      <c r="A98" s="390"/>
      <c r="B98" s="390"/>
      <c r="C98" s="390"/>
      <c r="D98" s="390"/>
      <c r="E98" s="390"/>
      <c r="F98" s="390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</row>
    <row r="99" ht="30.75" customHeight="1">
      <c r="A99" s="390"/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</row>
    <row r="100" ht="30.75" customHeight="1">
      <c r="A100" s="390"/>
      <c r="B100" s="390"/>
      <c r="C100" s="390"/>
      <c r="D100" s="390"/>
      <c r="E100" s="390"/>
      <c r="F100" s="390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</row>
    <row r="101" ht="30.75" customHeight="1">
      <c r="A101" s="390"/>
      <c r="B101" s="390"/>
      <c r="C101" s="390"/>
      <c r="D101" s="390"/>
      <c r="E101" s="390"/>
      <c r="F101" s="390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</row>
    <row r="102" ht="30.75" customHeight="1">
      <c r="A102" s="390"/>
      <c r="B102" s="390"/>
      <c r="C102" s="390"/>
      <c r="D102" s="390"/>
      <c r="E102" s="390"/>
      <c r="F102" s="390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</row>
    <row r="103" ht="30.75" customHeight="1">
      <c r="A103" s="390"/>
      <c r="B103" s="390"/>
      <c r="C103" s="390"/>
      <c r="D103" s="390"/>
      <c r="E103" s="390"/>
      <c r="F103" s="390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</row>
    <row r="104" ht="30.75" customHeight="1">
      <c r="A104" s="390"/>
      <c r="B104" s="390"/>
      <c r="C104" s="390"/>
      <c r="D104" s="390"/>
      <c r="E104" s="390"/>
      <c r="F104" s="390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</row>
    <row r="105" ht="30.75" customHeight="1">
      <c r="A105" s="390"/>
      <c r="B105" s="390"/>
      <c r="C105" s="390"/>
      <c r="D105" s="390"/>
      <c r="E105" s="390"/>
      <c r="F105" s="390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</row>
    <row r="106" ht="30.75" customHeight="1">
      <c r="A106" s="390"/>
      <c r="B106" s="390"/>
      <c r="C106" s="390"/>
      <c r="D106" s="390"/>
      <c r="E106" s="390"/>
      <c r="F106" s="390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</row>
    <row r="107" ht="30.75" customHeight="1">
      <c r="A107" s="390"/>
      <c r="B107" s="390"/>
      <c r="C107" s="390"/>
      <c r="D107" s="390"/>
      <c r="E107" s="390"/>
      <c r="F107" s="390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</row>
    <row r="108" ht="30.75" customHeight="1">
      <c r="A108" s="390"/>
      <c r="B108" s="390"/>
      <c r="C108" s="390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</row>
    <row r="109" ht="30.75" customHeight="1">
      <c r="A109" s="390"/>
      <c r="B109" s="390"/>
      <c r="C109" s="390"/>
      <c r="D109" s="390"/>
      <c r="E109" s="390"/>
      <c r="F109" s="390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</row>
    <row r="110" ht="30.75" customHeight="1">
      <c r="A110" s="390"/>
      <c r="B110" s="390"/>
      <c r="C110" s="390"/>
      <c r="D110" s="390"/>
      <c r="E110" s="390"/>
      <c r="F110" s="390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</row>
    <row r="111" ht="30.75" customHeight="1">
      <c r="A111" s="390"/>
      <c r="B111" s="390"/>
      <c r="C111" s="390"/>
      <c r="D111" s="390"/>
      <c r="E111" s="390"/>
      <c r="F111" s="390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</row>
    <row r="112" ht="30.75" customHeight="1">
      <c r="A112" s="390"/>
      <c r="B112" s="390"/>
      <c r="C112" s="390"/>
      <c r="D112" s="390"/>
      <c r="E112" s="390"/>
      <c r="F112" s="390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</row>
    <row r="113" ht="30.75" customHeight="1">
      <c r="A113" s="390"/>
      <c r="B113" s="390"/>
      <c r="C113" s="390"/>
      <c r="D113" s="390"/>
      <c r="E113" s="390"/>
      <c r="F113" s="390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</row>
    <row r="114" ht="30.75" customHeight="1">
      <c r="A114" s="390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</row>
    <row r="115" ht="30.75" customHeight="1">
      <c r="A115" s="390"/>
      <c r="B115" s="390"/>
      <c r="C115" s="390"/>
      <c r="D115" s="390"/>
      <c r="E115" s="390"/>
      <c r="F115" s="390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</row>
    <row r="116" ht="30.75" customHeight="1">
      <c r="A116" s="390"/>
      <c r="B116" s="390"/>
      <c r="C116" s="390"/>
      <c r="D116" s="390"/>
      <c r="E116" s="390"/>
      <c r="F116" s="390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</row>
    <row r="117" ht="30.75" customHeight="1">
      <c r="A117" s="390"/>
      <c r="B117" s="390"/>
      <c r="C117" s="390"/>
      <c r="D117" s="390"/>
      <c r="E117" s="390"/>
      <c r="F117" s="390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</row>
    <row r="118" ht="30.75" customHeight="1">
      <c r="A118" s="390"/>
      <c r="B118" s="390"/>
      <c r="C118" s="390"/>
      <c r="D118" s="390"/>
      <c r="E118" s="390"/>
      <c r="F118" s="390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</row>
    <row r="119" ht="30.75" customHeight="1">
      <c r="A119" s="390"/>
      <c r="B119" s="390"/>
      <c r="C119" s="390"/>
      <c r="D119" s="390"/>
      <c r="E119" s="390"/>
      <c r="F119" s="390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</row>
    <row r="120" ht="30.75" customHeight="1">
      <c r="A120" s="390"/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</row>
    <row r="121" ht="30.75" customHeight="1">
      <c r="A121" s="390"/>
      <c r="B121" s="390"/>
      <c r="C121" s="390"/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</row>
    <row r="122" ht="30.75" customHeight="1">
      <c r="A122" s="390"/>
      <c r="B122" s="390"/>
      <c r="C122" s="390"/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</row>
    <row r="123" ht="30.75" customHeight="1">
      <c r="A123" s="390"/>
      <c r="B123" s="390"/>
      <c r="C123" s="390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</row>
    <row r="124" ht="30.75" customHeight="1">
      <c r="A124" s="390"/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</row>
    <row r="125" ht="30.75" customHeight="1">
      <c r="A125" s="390"/>
      <c r="B125" s="390"/>
      <c r="C125" s="390"/>
      <c r="D125" s="390"/>
      <c r="E125" s="390"/>
      <c r="F125" s="390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</row>
    <row r="126" ht="30.75" customHeight="1">
      <c r="A126" s="390"/>
      <c r="B126" s="390"/>
      <c r="C126" s="390"/>
      <c r="D126" s="390"/>
      <c r="E126" s="390"/>
      <c r="F126" s="390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</row>
    <row r="127" ht="30.75" customHeight="1">
      <c r="A127" s="390"/>
      <c r="B127" s="390"/>
      <c r="C127" s="390"/>
      <c r="D127" s="390"/>
      <c r="E127" s="390"/>
      <c r="F127" s="390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</row>
    <row r="128" ht="30.75" customHeight="1">
      <c r="A128" s="390"/>
      <c r="B128" s="390"/>
      <c r="C128" s="390"/>
      <c r="D128" s="390"/>
      <c r="E128" s="390"/>
      <c r="F128" s="390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</row>
    <row r="129" ht="30.75" customHeight="1">
      <c r="A129" s="390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</row>
    <row r="130" ht="30.75" customHeight="1">
      <c r="A130" s="390"/>
      <c r="B130" s="390"/>
      <c r="C130" s="390"/>
      <c r="D130" s="390"/>
      <c r="E130" s="390"/>
      <c r="F130" s="390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</row>
    <row r="131" ht="30.75" customHeight="1">
      <c r="A131" s="390"/>
      <c r="B131" s="390"/>
      <c r="C131" s="390"/>
      <c r="D131" s="390"/>
      <c r="E131" s="390"/>
      <c r="F131" s="390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</row>
    <row r="132" ht="30.75" customHeight="1">
      <c r="A132" s="390"/>
      <c r="B132" s="390"/>
      <c r="C132" s="390"/>
      <c r="D132" s="390"/>
      <c r="E132" s="390"/>
      <c r="F132" s="390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</row>
    <row r="133" ht="30.75" customHeight="1">
      <c r="A133" s="390"/>
      <c r="B133" s="390"/>
      <c r="C133" s="390"/>
      <c r="D133" s="390"/>
      <c r="E133" s="390"/>
      <c r="F133" s="390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</row>
    <row r="134" ht="30.75" customHeight="1">
      <c r="A134" s="390"/>
      <c r="B134" s="390"/>
      <c r="C134" s="390"/>
      <c r="D134" s="390"/>
      <c r="E134" s="390"/>
      <c r="F134" s="390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</row>
    <row r="135" ht="30.75" customHeight="1">
      <c r="A135" s="390"/>
      <c r="B135" s="390"/>
      <c r="C135" s="390"/>
      <c r="D135" s="390"/>
      <c r="E135" s="390"/>
      <c r="F135" s="390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</row>
    <row r="136" ht="30.75" customHeight="1">
      <c r="A136" s="390"/>
      <c r="B136" s="390"/>
      <c r="C136" s="390"/>
      <c r="D136" s="390"/>
      <c r="E136" s="390"/>
      <c r="F136" s="390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</row>
    <row r="137" ht="30.75" customHeight="1">
      <c r="A137" s="390"/>
      <c r="B137" s="390"/>
      <c r="C137" s="390"/>
      <c r="D137" s="390"/>
      <c r="E137" s="390"/>
      <c r="F137" s="390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</row>
    <row r="138" ht="30.75" customHeight="1">
      <c r="A138" s="390"/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</row>
    <row r="139" ht="30.75" customHeight="1">
      <c r="A139" s="390"/>
      <c r="B139" s="390"/>
      <c r="C139" s="390"/>
      <c r="D139" s="390"/>
      <c r="E139" s="390"/>
      <c r="F139" s="390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</row>
    <row r="140" ht="30.75" customHeight="1">
      <c r="A140" s="390"/>
      <c r="B140" s="390"/>
      <c r="C140" s="390"/>
      <c r="D140" s="390"/>
      <c r="E140" s="390"/>
      <c r="F140" s="390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</row>
    <row r="141" ht="30.75" customHeight="1">
      <c r="A141" s="390"/>
      <c r="B141" s="390"/>
      <c r="C141" s="390"/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</row>
    <row r="142" ht="30.75" customHeight="1">
      <c r="A142" s="390"/>
      <c r="B142" s="390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</row>
    <row r="143" ht="30.75" customHeight="1">
      <c r="A143" s="390"/>
      <c r="B143" s="390"/>
      <c r="C143" s="390"/>
      <c r="D143" s="390"/>
      <c r="E143" s="390"/>
      <c r="F143" s="390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</row>
    <row r="144" ht="30.75" customHeight="1">
      <c r="A144" s="390"/>
      <c r="B144" s="390"/>
      <c r="C144" s="390"/>
      <c r="D144" s="390"/>
      <c r="E144" s="390"/>
      <c r="F144" s="390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</row>
    <row r="145" ht="30.75" customHeight="1">
      <c r="A145" s="390"/>
      <c r="B145" s="390"/>
      <c r="C145" s="390"/>
      <c r="D145" s="390"/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</row>
    <row r="146" ht="30.75" customHeight="1">
      <c r="A146" s="390"/>
      <c r="B146" s="390"/>
      <c r="C146" s="390"/>
      <c r="D146" s="390"/>
      <c r="E146" s="390"/>
      <c r="F146" s="390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</row>
    <row r="147" ht="30.75" customHeight="1">
      <c r="A147" s="390"/>
      <c r="B147" s="390"/>
      <c r="C147" s="390"/>
      <c r="D147" s="390"/>
      <c r="E147" s="390"/>
      <c r="F147" s="390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</row>
    <row r="148" ht="30.75" customHeight="1">
      <c r="A148" s="390"/>
      <c r="B148" s="390"/>
      <c r="C148" s="390"/>
      <c r="D148" s="390"/>
      <c r="E148" s="390"/>
      <c r="F148" s="390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</row>
    <row r="149" ht="30.75" customHeight="1">
      <c r="A149" s="390"/>
      <c r="B149" s="390"/>
      <c r="C149" s="390"/>
      <c r="D149" s="390"/>
      <c r="E149" s="390"/>
      <c r="F149" s="390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</row>
    <row r="150" ht="30.75" customHeight="1">
      <c r="A150" s="390"/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</row>
    <row r="151" ht="30.75" customHeight="1">
      <c r="A151" s="390"/>
      <c r="B151" s="390"/>
      <c r="C151" s="390"/>
      <c r="D151" s="390"/>
      <c r="E151" s="390"/>
      <c r="F151" s="390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</row>
    <row r="152" ht="30.75" customHeight="1">
      <c r="A152" s="390"/>
      <c r="B152" s="390"/>
      <c r="C152" s="390"/>
      <c r="D152" s="390"/>
      <c r="E152" s="390"/>
      <c r="F152" s="390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</row>
    <row r="153" ht="30.75" customHeight="1">
      <c r="A153" s="390"/>
      <c r="B153" s="390"/>
      <c r="C153" s="390"/>
      <c r="D153" s="390"/>
      <c r="E153" s="390"/>
      <c r="F153" s="390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</row>
    <row r="154" ht="30.75" customHeight="1">
      <c r="A154" s="390"/>
      <c r="B154" s="390"/>
      <c r="C154" s="390"/>
      <c r="D154" s="390"/>
      <c r="E154" s="390"/>
      <c r="F154" s="390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</row>
    <row r="155" ht="30.75" customHeight="1">
      <c r="A155" s="390"/>
      <c r="B155" s="390"/>
      <c r="C155" s="390"/>
      <c r="D155" s="390"/>
      <c r="E155" s="390"/>
      <c r="F155" s="390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</row>
    <row r="156" ht="30.75" customHeight="1">
      <c r="A156" s="390"/>
      <c r="B156" s="390"/>
      <c r="C156" s="390"/>
      <c r="D156" s="390"/>
      <c r="E156" s="390"/>
      <c r="F156" s="390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</row>
    <row r="157" ht="30.75" customHeight="1">
      <c r="A157" s="390"/>
      <c r="B157" s="390"/>
      <c r="C157" s="390"/>
      <c r="D157" s="390"/>
      <c r="E157" s="390"/>
      <c r="F157" s="390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</row>
    <row r="158" ht="30.75" customHeight="1">
      <c r="A158" s="390"/>
      <c r="B158" s="390"/>
      <c r="C158" s="390"/>
      <c r="D158" s="390"/>
      <c r="E158" s="390"/>
      <c r="F158" s="390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</row>
    <row r="159" ht="30.75" customHeight="1">
      <c r="A159" s="390"/>
      <c r="B159" s="390"/>
      <c r="C159" s="390"/>
      <c r="D159" s="390"/>
      <c r="E159" s="390"/>
      <c r="F159" s="390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</row>
    <row r="160" ht="30.75" customHeight="1">
      <c r="A160" s="390"/>
      <c r="B160" s="390"/>
      <c r="C160" s="390"/>
      <c r="D160" s="390"/>
      <c r="E160" s="390"/>
      <c r="F160" s="390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</row>
    <row r="161" ht="30.75" customHeight="1">
      <c r="A161" s="390"/>
      <c r="B161" s="390"/>
      <c r="C161" s="390"/>
      <c r="D161" s="390"/>
      <c r="E161" s="390"/>
      <c r="F161" s="390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</row>
    <row r="162" ht="30.75" customHeight="1">
      <c r="A162" s="390"/>
      <c r="B162" s="390"/>
      <c r="C162" s="390"/>
      <c r="D162" s="390"/>
      <c r="E162" s="390"/>
      <c r="F162" s="390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</row>
    <row r="163" ht="30.75" customHeight="1">
      <c r="A163" s="390"/>
      <c r="B163" s="390"/>
      <c r="C163" s="390"/>
      <c r="D163" s="390"/>
      <c r="E163" s="390"/>
      <c r="F163" s="390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</row>
    <row r="164" ht="30.75" customHeight="1">
      <c r="A164" s="390"/>
      <c r="B164" s="390"/>
      <c r="C164" s="390"/>
      <c r="D164" s="390"/>
      <c r="E164" s="390"/>
      <c r="F164" s="390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</row>
    <row r="165" ht="30.75" customHeight="1">
      <c r="A165" s="390"/>
      <c r="B165" s="390"/>
      <c r="C165" s="390"/>
      <c r="D165" s="390"/>
      <c r="E165" s="390"/>
      <c r="F165" s="390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</row>
    <row r="166" ht="30.75" customHeight="1">
      <c r="A166" s="390"/>
      <c r="B166" s="390"/>
      <c r="C166" s="390"/>
      <c r="D166" s="390"/>
      <c r="E166" s="390"/>
      <c r="F166" s="390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</row>
    <row r="167" ht="30.75" customHeight="1">
      <c r="A167" s="390"/>
      <c r="B167" s="390"/>
      <c r="C167" s="390"/>
      <c r="D167" s="390"/>
      <c r="E167" s="390"/>
      <c r="F167" s="390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</row>
    <row r="168" ht="30.75" customHeight="1">
      <c r="A168" s="390"/>
      <c r="B168" s="390"/>
      <c r="C168" s="390"/>
      <c r="D168" s="390"/>
      <c r="E168" s="390"/>
      <c r="F168" s="390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</row>
    <row r="169" ht="30.75" customHeight="1">
      <c r="A169" s="390"/>
      <c r="B169" s="390"/>
      <c r="C169" s="390"/>
      <c r="D169" s="390"/>
      <c r="E169" s="390"/>
      <c r="F169" s="390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</row>
    <row r="170" ht="30.75" customHeight="1">
      <c r="A170" s="390"/>
      <c r="B170" s="390"/>
      <c r="C170" s="390"/>
      <c r="D170" s="390"/>
      <c r="E170" s="390"/>
      <c r="F170" s="390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</row>
    <row r="171" ht="30.75" customHeight="1">
      <c r="A171" s="390"/>
      <c r="B171" s="390"/>
      <c r="C171" s="390"/>
      <c r="D171" s="390"/>
      <c r="E171" s="390"/>
      <c r="F171" s="390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</row>
    <row r="172" ht="30.75" customHeight="1">
      <c r="A172" s="390"/>
      <c r="B172" s="390"/>
      <c r="C172" s="390"/>
      <c r="D172" s="390"/>
      <c r="E172" s="390"/>
      <c r="F172" s="390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</row>
    <row r="173" ht="30.75" customHeight="1">
      <c r="A173" s="390"/>
      <c r="B173" s="390"/>
      <c r="C173" s="390"/>
      <c r="D173" s="390"/>
      <c r="E173" s="390"/>
      <c r="F173" s="390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</row>
    <row r="174" ht="30.75" customHeight="1">
      <c r="A174" s="390"/>
      <c r="B174" s="390"/>
      <c r="C174" s="390"/>
      <c r="D174" s="390"/>
      <c r="E174" s="390"/>
      <c r="F174" s="390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</row>
    <row r="175" ht="30.75" customHeight="1">
      <c r="A175" s="390"/>
      <c r="B175" s="390"/>
      <c r="C175" s="390"/>
      <c r="D175" s="390"/>
      <c r="E175" s="390"/>
      <c r="F175" s="390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</row>
    <row r="176" ht="30.75" customHeight="1">
      <c r="A176" s="390"/>
      <c r="B176" s="390"/>
      <c r="C176" s="390"/>
      <c r="D176" s="390"/>
      <c r="E176" s="390"/>
      <c r="F176" s="390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</row>
    <row r="177" ht="30.75" customHeight="1">
      <c r="A177" s="390"/>
      <c r="B177" s="390"/>
      <c r="C177" s="390"/>
      <c r="D177" s="390"/>
      <c r="E177" s="390"/>
      <c r="F177" s="390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</row>
    <row r="178" ht="30.75" customHeight="1">
      <c r="A178" s="390"/>
      <c r="B178" s="390"/>
      <c r="C178" s="390"/>
      <c r="D178" s="390"/>
      <c r="E178" s="390"/>
      <c r="F178" s="390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</row>
    <row r="179" ht="30.75" customHeight="1">
      <c r="A179" s="390"/>
      <c r="B179" s="390"/>
      <c r="C179" s="390"/>
      <c r="D179" s="390"/>
      <c r="E179" s="390"/>
      <c r="F179" s="390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</row>
    <row r="180" ht="30.75" customHeight="1">
      <c r="A180" s="390"/>
      <c r="B180" s="390"/>
      <c r="C180" s="390"/>
      <c r="D180" s="390"/>
      <c r="E180" s="390"/>
      <c r="F180" s="390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</row>
    <row r="181" ht="30.75" customHeight="1">
      <c r="A181" s="390"/>
      <c r="B181" s="390"/>
      <c r="C181" s="390"/>
      <c r="D181" s="390"/>
      <c r="E181" s="390"/>
      <c r="F181" s="390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</row>
    <row r="182" ht="30.75" customHeight="1">
      <c r="A182" s="390"/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</row>
    <row r="183" ht="30.75" customHeight="1">
      <c r="A183" s="390"/>
      <c r="B183" s="390"/>
      <c r="C183" s="390"/>
      <c r="D183" s="390"/>
      <c r="E183" s="390"/>
      <c r="F183" s="390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</row>
    <row r="184" ht="30.75" customHeight="1">
      <c r="A184" s="390"/>
      <c r="B184" s="390"/>
      <c r="C184" s="390"/>
      <c r="D184" s="390"/>
      <c r="E184" s="390"/>
      <c r="F184" s="390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</row>
    <row r="185" ht="30.75" customHeight="1">
      <c r="A185" s="390"/>
      <c r="B185" s="390"/>
      <c r="C185" s="390"/>
      <c r="D185" s="390"/>
      <c r="E185" s="390"/>
      <c r="F185" s="390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</row>
    <row r="186" ht="30.75" customHeight="1">
      <c r="A186" s="390"/>
      <c r="B186" s="390"/>
      <c r="C186" s="390"/>
      <c r="D186" s="390"/>
      <c r="E186" s="390"/>
      <c r="F186" s="390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</row>
    <row r="187" ht="30.75" customHeight="1">
      <c r="A187" s="390"/>
      <c r="B187" s="390"/>
      <c r="C187" s="390"/>
      <c r="D187" s="390"/>
      <c r="E187" s="390"/>
      <c r="F187" s="390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</row>
    <row r="188" ht="30.75" customHeight="1">
      <c r="A188" s="390"/>
      <c r="B188" s="390"/>
      <c r="C188" s="390"/>
      <c r="D188" s="390"/>
      <c r="E188" s="390"/>
      <c r="F188" s="390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</row>
    <row r="189" ht="30.75" customHeight="1">
      <c r="A189" s="390"/>
      <c r="B189" s="390"/>
      <c r="C189" s="390"/>
      <c r="D189" s="390"/>
      <c r="E189" s="390"/>
      <c r="F189" s="390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</row>
    <row r="190" ht="30.75" customHeight="1">
      <c r="A190" s="390"/>
      <c r="B190" s="390"/>
      <c r="C190" s="390"/>
      <c r="D190" s="390"/>
      <c r="E190" s="390"/>
      <c r="F190" s="390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</row>
    <row r="191" ht="30.75" customHeight="1">
      <c r="A191" s="390"/>
      <c r="B191" s="390"/>
      <c r="C191" s="390"/>
      <c r="D191" s="390"/>
      <c r="E191" s="390"/>
      <c r="F191" s="390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</row>
    <row r="192" ht="30.75" customHeight="1">
      <c r="A192" s="390"/>
      <c r="B192" s="390"/>
      <c r="C192" s="390"/>
      <c r="D192" s="390"/>
      <c r="E192" s="390"/>
      <c r="F192" s="390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</row>
    <row r="193" ht="30.75" customHeight="1">
      <c r="A193" s="390"/>
      <c r="B193" s="390"/>
      <c r="C193" s="390"/>
      <c r="D193" s="390"/>
      <c r="E193" s="390"/>
      <c r="F193" s="390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</row>
    <row r="194" ht="30.75" customHeight="1">
      <c r="A194" s="390"/>
      <c r="B194" s="390"/>
      <c r="C194" s="390"/>
      <c r="D194" s="390"/>
      <c r="E194" s="390"/>
      <c r="F194" s="390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</row>
    <row r="195" ht="30.75" customHeight="1">
      <c r="A195" s="390"/>
      <c r="B195" s="390"/>
      <c r="C195" s="390"/>
      <c r="D195" s="390"/>
      <c r="E195" s="390"/>
      <c r="F195" s="390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</row>
    <row r="196" ht="30.75" customHeight="1">
      <c r="A196" s="390"/>
      <c r="B196" s="390"/>
      <c r="C196" s="390"/>
      <c r="D196" s="390"/>
      <c r="E196" s="390"/>
      <c r="F196" s="390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</row>
    <row r="197" ht="30.75" customHeight="1">
      <c r="A197" s="390"/>
      <c r="B197" s="390"/>
      <c r="C197" s="390"/>
      <c r="D197" s="390"/>
      <c r="E197" s="390"/>
      <c r="F197" s="390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</row>
    <row r="198" ht="30.75" customHeight="1">
      <c r="A198" s="390"/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</row>
    <row r="199" ht="30.75" customHeight="1">
      <c r="A199" s="390"/>
      <c r="B199" s="390"/>
      <c r="C199" s="390"/>
      <c r="D199" s="390"/>
      <c r="E199" s="390"/>
      <c r="F199" s="390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</row>
    <row r="200" ht="30.75" customHeight="1">
      <c r="A200" s="390"/>
      <c r="B200" s="390"/>
      <c r="C200" s="390"/>
      <c r="D200" s="390"/>
      <c r="E200" s="390"/>
      <c r="F200" s="390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</row>
    <row r="201" ht="30.75" customHeight="1">
      <c r="A201" s="390"/>
      <c r="B201" s="390"/>
      <c r="C201" s="390"/>
      <c r="D201" s="390"/>
      <c r="E201" s="390"/>
      <c r="F201" s="390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</row>
    <row r="202" ht="30.75" customHeight="1">
      <c r="A202" s="390"/>
      <c r="B202" s="390"/>
      <c r="C202" s="390"/>
      <c r="D202" s="390"/>
      <c r="E202" s="390"/>
      <c r="F202" s="390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</row>
    <row r="203" ht="30.75" customHeight="1">
      <c r="A203" s="390"/>
      <c r="B203" s="390"/>
      <c r="C203" s="390"/>
      <c r="D203" s="390"/>
      <c r="E203" s="390"/>
      <c r="F203" s="390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</row>
    <row r="204" ht="30.75" customHeight="1">
      <c r="A204" s="390"/>
      <c r="B204" s="390"/>
      <c r="C204" s="390"/>
      <c r="D204" s="390"/>
      <c r="E204" s="390"/>
      <c r="F204" s="390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</row>
    <row r="205" ht="30.75" customHeight="1">
      <c r="A205" s="390"/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</row>
    <row r="206" ht="30.75" customHeight="1">
      <c r="A206" s="390"/>
      <c r="B206" s="390"/>
      <c r="C206" s="390"/>
      <c r="D206" s="390"/>
      <c r="E206" s="390"/>
      <c r="F206" s="390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</row>
    <row r="207" ht="30.75" customHeight="1">
      <c r="A207" s="390"/>
      <c r="B207" s="390"/>
      <c r="C207" s="390"/>
      <c r="D207" s="390"/>
      <c r="E207" s="390"/>
      <c r="F207" s="390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</row>
    <row r="208" ht="30.75" customHeight="1">
      <c r="A208" s="390"/>
      <c r="B208" s="390"/>
      <c r="C208" s="390"/>
      <c r="D208" s="390"/>
      <c r="E208" s="390"/>
      <c r="F208" s="390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</row>
    <row r="209" ht="30.75" customHeight="1">
      <c r="A209" s="390"/>
      <c r="B209" s="390"/>
      <c r="C209" s="390"/>
      <c r="D209" s="390"/>
      <c r="E209" s="390"/>
      <c r="F209" s="390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</row>
    <row r="210" ht="30.75" customHeight="1">
      <c r="A210" s="390"/>
      <c r="B210" s="390"/>
      <c r="C210" s="390"/>
      <c r="D210" s="390"/>
      <c r="E210" s="390"/>
      <c r="F210" s="390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</row>
    <row r="211" ht="30.75" customHeight="1">
      <c r="A211" s="390"/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</row>
    <row r="212" ht="30.75" customHeight="1">
      <c r="A212" s="390"/>
      <c r="B212" s="390"/>
      <c r="C212" s="390"/>
      <c r="D212" s="390"/>
      <c r="E212" s="390"/>
      <c r="F212" s="390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</row>
    <row r="213" ht="30.75" customHeight="1">
      <c r="A213" s="390"/>
      <c r="B213" s="390"/>
      <c r="C213" s="390"/>
      <c r="D213" s="390"/>
      <c r="E213" s="390"/>
      <c r="F213" s="390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</row>
    <row r="214" ht="30.75" customHeight="1">
      <c r="A214" s="390"/>
      <c r="B214" s="390"/>
      <c r="C214" s="390"/>
      <c r="D214" s="390"/>
      <c r="E214" s="390"/>
      <c r="F214" s="390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</row>
    <row r="215" ht="30.75" customHeight="1">
      <c r="A215" s="390"/>
      <c r="B215" s="390"/>
      <c r="C215" s="390"/>
      <c r="D215" s="390"/>
      <c r="E215" s="390"/>
      <c r="F215" s="390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</row>
    <row r="216" ht="30.75" customHeight="1">
      <c r="A216" s="390"/>
      <c r="B216" s="390"/>
      <c r="C216" s="390"/>
      <c r="D216" s="390"/>
      <c r="E216" s="390"/>
      <c r="F216" s="390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</row>
    <row r="217" ht="30.75" customHeight="1">
      <c r="A217" s="390"/>
      <c r="B217" s="390"/>
      <c r="C217" s="390"/>
      <c r="D217" s="390"/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</row>
    <row r="218" ht="30.75" customHeight="1">
      <c r="A218" s="390"/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</row>
    <row r="219" ht="30.75" customHeight="1">
      <c r="A219" s="390"/>
      <c r="B219" s="390"/>
      <c r="C219" s="390"/>
      <c r="D219" s="390"/>
      <c r="E219" s="390"/>
      <c r="F219" s="390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</row>
    <row r="220" ht="30.75" customHeight="1">
      <c r="A220" s="390"/>
      <c r="B220" s="390"/>
      <c r="C220" s="390"/>
      <c r="D220" s="390"/>
      <c r="E220" s="390"/>
      <c r="F220" s="390"/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</row>
    <row r="221" ht="30.75" customHeight="1">
      <c r="A221" s="390"/>
      <c r="B221" s="390"/>
      <c r="C221" s="390"/>
      <c r="D221" s="390"/>
      <c r="E221" s="390"/>
      <c r="F221" s="390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</row>
    <row r="222" ht="30.75" customHeight="1">
      <c r="A222" s="390"/>
      <c r="B222" s="390"/>
      <c r="C222" s="390"/>
      <c r="D222" s="390"/>
      <c r="E222" s="390"/>
      <c r="F222" s="390"/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</row>
    <row r="223" ht="30.75" customHeight="1">
      <c r="A223" s="390"/>
      <c r="B223" s="390"/>
      <c r="C223" s="390"/>
      <c r="D223" s="390"/>
      <c r="E223" s="390"/>
      <c r="F223" s="390"/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</row>
    <row r="224" ht="30.75" customHeight="1">
      <c r="A224" s="390"/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</row>
    <row r="225" ht="30.75" customHeight="1">
      <c r="A225" s="390"/>
      <c r="B225" s="390"/>
      <c r="C225" s="390"/>
      <c r="D225" s="390"/>
      <c r="E225" s="390"/>
      <c r="F225" s="390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52.57"/>
    <col customWidth="1" min="3" max="3" width="13.14"/>
    <col customWidth="1" min="4" max="5" width="34.43"/>
    <col customWidth="1" min="6" max="22" width="33.43"/>
  </cols>
  <sheetData>
    <row r="1" ht="18.75" customHeight="1">
      <c r="A1" s="389" t="s">
        <v>285</v>
      </c>
      <c r="B1" s="63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</row>
    <row r="2" ht="27.0" customHeight="1">
      <c r="A2" s="393" t="s">
        <v>290</v>
      </c>
      <c r="B2" s="394">
        <f>'CE (ИП)'!X279</f>
        <v>2223151.648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</row>
    <row r="3" ht="27.0" customHeight="1">
      <c r="A3" s="395" t="s">
        <v>291</v>
      </c>
      <c r="B3" s="394">
        <f>'CE (ИП)'!AA279</f>
        <v>0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</row>
    <row r="4" ht="27.0" customHeight="1">
      <c r="A4" s="392" t="s">
        <v>292</v>
      </c>
      <c r="B4" s="394">
        <f>'CE (ИП)'!M279</f>
        <v>2322774.505</v>
      </c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0"/>
      <c r="U4" s="390"/>
      <c r="V4" s="390"/>
    </row>
    <row r="5" ht="27.0" customHeight="1">
      <c r="A5" s="392" t="s">
        <v>293</v>
      </c>
      <c r="B5" s="394">
        <f>'CE (ИП)'!M281</f>
        <v>2639516.484</v>
      </c>
      <c r="C5" s="390"/>
      <c r="D5" s="390"/>
      <c r="E5" s="390"/>
      <c r="F5" s="390"/>
      <c r="G5" s="390"/>
      <c r="H5" s="390"/>
      <c r="I5" s="390"/>
      <c r="J5" s="390"/>
      <c r="K5" s="390"/>
      <c r="L5" s="390"/>
      <c r="M5" s="390"/>
      <c r="N5" s="390"/>
      <c r="O5" s="390"/>
      <c r="P5" s="390"/>
      <c r="Q5" s="390"/>
      <c r="R5" s="390"/>
      <c r="S5" s="390"/>
      <c r="T5" s="390"/>
      <c r="U5" s="390"/>
      <c r="V5" s="390"/>
    </row>
    <row r="6" ht="27.0" customHeight="1">
      <c r="A6" s="393" t="s">
        <v>294</v>
      </c>
      <c r="B6" s="396">
        <f>(B4-B2)/B4</f>
        <v>0.04288959471</v>
      </c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</row>
    <row r="7" ht="27.0" customHeight="1">
      <c r="A7" s="395" t="s">
        <v>295</v>
      </c>
      <c r="B7" s="396">
        <f>'CE (ИП)'!AA284</f>
        <v>1</v>
      </c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</row>
    <row r="8" ht="27.0" customHeight="1">
      <c r="A8" s="392" t="s">
        <v>296</v>
      </c>
      <c r="B8" s="397"/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</row>
    <row r="9" ht="27.0" customHeight="1">
      <c r="A9" s="392" t="s">
        <v>335</v>
      </c>
      <c r="B9" s="392"/>
      <c r="C9" s="390"/>
      <c r="D9" s="390"/>
      <c r="E9" s="390"/>
      <c r="F9" s="390"/>
      <c r="G9" s="390"/>
      <c r="H9" s="390"/>
      <c r="I9" s="390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</row>
    <row r="10" ht="27.0" customHeight="1">
      <c r="A10" s="392" t="s">
        <v>336</v>
      </c>
      <c r="B10" s="400"/>
      <c r="C10" s="390"/>
      <c r="D10" s="390"/>
      <c r="E10" s="390"/>
      <c r="F10" s="390"/>
      <c r="G10" s="390"/>
      <c r="H10" s="390"/>
      <c r="I10" s="390"/>
      <c r="J10" s="390"/>
      <c r="K10" s="390"/>
      <c r="L10" s="390"/>
      <c r="M10" s="390"/>
      <c r="N10" s="390"/>
      <c r="O10" s="390"/>
      <c r="P10" s="390"/>
      <c r="Q10" s="390"/>
      <c r="R10" s="390"/>
      <c r="S10" s="390"/>
      <c r="T10" s="390"/>
      <c r="U10" s="390"/>
      <c r="V10" s="390"/>
    </row>
    <row r="11" ht="27.0" customHeight="1">
      <c r="A11" s="391" t="s">
        <v>337</v>
      </c>
      <c r="B11" s="400"/>
      <c r="C11" s="390"/>
      <c r="D11" s="390"/>
      <c r="E11" s="390"/>
      <c r="F11" s="390"/>
      <c r="G11" s="390"/>
      <c r="H11" s="390"/>
      <c r="I11" s="390"/>
      <c r="J11" s="390"/>
      <c r="K11" s="390"/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</row>
    <row r="12" ht="27.0" customHeight="1">
      <c r="A12" s="392" t="s">
        <v>338</v>
      </c>
      <c r="B12" s="400"/>
      <c r="C12" s="390"/>
      <c r="D12" s="390"/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</row>
    <row r="13" ht="27.0" customHeight="1">
      <c r="A13" s="392" t="s">
        <v>309</v>
      </c>
      <c r="B13" s="400"/>
      <c r="C13" s="390"/>
      <c r="D13" s="390"/>
      <c r="E13" s="390"/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</row>
    <row r="14" ht="27.0" customHeight="1">
      <c r="A14" s="392" t="s">
        <v>310</v>
      </c>
      <c r="B14" s="400"/>
      <c r="C14" s="390"/>
      <c r="D14" s="390"/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390"/>
      <c r="P14" s="390"/>
      <c r="Q14" s="390"/>
      <c r="R14" s="390"/>
      <c r="S14" s="390"/>
      <c r="T14" s="390"/>
      <c r="U14" s="390"/>
      <c r="V14" s="390"/>
    </row>
    <row r="15" ht="27.0" customHeight="1">
      <c r="A15" s="392" t="s">
        <v>311</v>
      </c>
      <c r="B15" s="400"/>
      <c r="C15" s="390"/>
      <c r="D15" s="390"/>
      <c r="E15" s="390"/>
      <c r="F15" s="390"/>
      <c r="G15" s="390"/>
      <c r="H15" s="390"/>
      <c r="I15" s="390"/>
      <c r="J15" s="390"/>
      <c r="K15" s="390"/>
      <c r="L15" s="390"/>
      <c r="M15" s="390"/>
      <c r="N15" s="390"/>
      <c r="O15" s="390"/>
      <c r="P15" s="390"/>
      <c r="Q15" s="390"/>
      <c r="R15" s="390"/>
      <c r="S15" s="390"/>
      <c r="T15" s="390"/>
      <c r="U15" s="390"/>
      <c r="V15" s="390"/>
    </row>
    <row r="16" ht="27.0" customHeight="1">
      <c r="A16" s="392" t="s">
        <v>312</v>
      </c>
      <c r="B16" s="400"/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</row>
    <row r="17" ht="27.0" customHeight="1">
      <c r="A17" s="392" t="s">
        <v>313</v>
      </c>
      <c r="B17" s="400"/>
      <c r="C17" s="390"/>
      <c r="D17" s="390"/>
      <c r="E17" s="390"/>
      <c r="F17" s="390"/>
      <c r="G17" s="390"/>
      <c r="H17" s="390"/>
      <c r="I17" s="390"/>
      <c r="J17" s="390"/>
      <c r="K17" s="390"/>
      <c r="L17" s="390"/>
      <c r="M17" s="390"/>
      <c r="N17" s="390"/>
      <c r="O17" s="390"/>
      <c r="P17" s="390"/>
      <c r="Q17" s="390"/>
      <c r="R17" s="390"/>
      <c r="S17" s="390"/>
      <c r="T17" s="390"/>
      <c r="U17" s="390"/>
      <c r="V17" s="390"/>
    </row>
    <row r="18" ht="27.0" customHeight="1">
      <c r="A18" s="392" t="s">
        <v>314</v>
      </c>
      <c r="B18" s="400"/>
      <c r="C18" s="390"/>
      <c r="D18" s="390"/>
      <c r="E18" s="390"/>
      <c r="F18" s="390"/>
      <c r="G18" s="390"/>
      <c r="H18" s="390"/>
      <c r="I18" s="390"/>
      <c r="J18" s="390"/>
      <c r="K18" s="390"/>
      <c r="L18" s="390"/>
      <c r="M18" s="390"/>
      <c r="N18" s="390"/>
      <c r="O18" s="390"/>
      <c r="P18" s="390"/>
      <c r="Q18" s="390"/>
      <c r="R18" s="390"/>
      <c r="S18" s="390"/>
      <c r="T18" s="390"/>
      <c r="U18" s="390"/>
      <c r="V18" s="390"/>
    </row>
    <row r="19" ht="27.0" customHeight="1">
      <c r="A19" s="391" t="s">
        <v>315</v>
      </c>
      <c r="B19" s="400"/>
      <c r="C19" s="390"/>
      <c r="D19" s="390"/>
      <c r="E19" s="390"/>
      <c r="F19" s="390"/>
      <c r="G19" s="390"/>
      <c r="H19" s="390"/>
      <c r="I19" s="390"/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  <c r="U19" s="390"/>
      <c r="V19" s="390"/>
    </row>
    <row r="20" ht="27.0" customHeight="1">
      <c r="A20" s="392" t="s">
        <v>339</v>
      </c>
      <c r="B20" s="40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  <c r="P20" s="390"/>
      <c r="Q20" s="390"/>
      <c r="R20" s="390"/>
      <c r="S20" s="390"/>
      <c r="T20" s="390"/>
      <c r="U20" s="390"/>
      <c r="V20" s="390"/>
    </row>
    <row r="21" ht="27.0" customHeight="1">
      <c r="A21" s="392" t="s">
        <v>316</v>
      </c>
      <c r="B21" s="400"/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390"/>
      <c r="T21" s="390"/>
      <c r="U21" s="390"/>
      <c r="V21" s="390"/>
    </row>
    <row r="22" ht="27.0" customHeight="1">
      <c r="A22" s="392" t="s">
        <v>317</v>
      </c>
      <c r="B22" s="400"/>
      <c r="C22" s="390"/>
      <c r="D22" s="390"/>
      <c r="E22" s="390"/>
      <c r="F22" s="390"/>
      <c r="G22" s="390"/>
      <c r="H22" s="390"/>
      <c r="I22" s="390"/>
      <c r="J22" s="390"/>
      <c r="K22" s="390"/>
      <c r="L22" s="390"/>
      <c r="M22" s="390"/>
      <c r="N22" s="390"/>
      <c r="O22" s="390"/>
      <c r="P22" s="390"/>
      <c r="Q22" s="390"/>
      <c r="R22" s="390"/>
      <c r="S22" s="390"/>
      <c r="T22" s="390"/>
      <c r="U22" s="390"/>
      <c r="V22" s="390"/>
    </row>
    <row r="23" ht="27.0" customHeight="1">
      <c r="A23" s="392" t="s">
        <v>318</v>
      </c>
      <c r="B23" s="400"/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</row>
    <row r="24" ht="27.0" customHeight="1">
      <c r="A24" s="399" t="s">
        <v>319</v>
      </c>
      <c r="B24" s="400"/>
      <c r="C24" s="390"/>
      <c r="D24" s="390"/>
      <c r="E24" s="390"/>
      <c r="F24" s="390"/>
      <c r="G24" s="390"/>
      <c r="H24" s="390"/>
      <c r="I24" s="390"/>
      <c r="J24" s="390"/>
      <c r="K24" s="390"/>
      <c r="L24" s="390"/>
      <c r="M24" s="390"/>
      <c r="N24" s="390"/>
      <c r="O24" s="390"/>
      <c r="P24" s="390"/>
      <c r="Q24" s="390"/>
      <c r="R24" s="390"/>
      <c r="S24" s="390"/>
      <c r="T24" s="390"/>
      <c r="U24" s="390"/>
      <c r="V24" s="390"/>
    </row>
    <row r="25" ht="27.0" customHeight="1">
      <c r="A25" s="392" t="s">
        <v>303</v>
      </c>
      <c r="B25" s="400"/>
      <c r="C25" s="390"/>
      <c r="D25" s="390"/>
      <c r="E25" s="390"/>
      <c r="F25" s="390"/>
      <c r="G25" s="390"/>
      <c r="H25" s="390"/>
      <c r="I25" s="390"/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</row>
    <row r="26" ht="27.0" customHeight="1">
      <c r="A26" s="392" t="s">
        <v>320</v>
      </c>
      <c r="B26" s="400"/>
      <c r="C26" s="390"/>
      <c r="D26" s="390"/>
      <c r="E26" s="390"/>
      <c r="F26" s="390"/>
      <c r="G26" s="390"/>
      <c r="H26" s="390"/>
      <c r="I26" s="390"/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</row>
    <row r="27" ht="27.0" customHeight="1">
      <c r="A27" s="392" t="s">
        <v>315</v>
      </c>
      <c r="B27" s="400"/>
      <c r="C27" s="390"/>
      <c r="D27" s="390"/>
      <c r="E27" s="390"/>
      <c r="F27" s="390"/>
      <c r="G27" s="390"/>
      <c r="H27" s="390"/>
      <c r="I27" s="390"/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</row>
    <row r="28" ht="27.0" customHeight="1">
      <c r="A28" s="392" t="s">
        <v>339</v>
      </c>
      <c r="B28" s="40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</row>
    <row r="29" ht="27.0" customHeight="1">
      <c r="A29" s="392" t="s">
        <v>316</v>
      </c>
      <c r="B29" s="400"/>
      <c r="C29" s="390"/>
      <c r="D29" s="390"/>
      <c r="E29" s="390"/>
      <c r="F29" s="390"/>
      <c r="G29" s="390"/>
      <c r="H29" s="390"/>
      <c r="I29" s="390"/>
      <c r="J29" s="390"/>
      <c r="K29" s="390"/>
      <c r="L29" s="390"/>
      <c r="M29" s="390"/>
      <c r="N29" s="390"/>
      <c r="O29" s="390"/>
      <c r="P29" s="390"/>
      <c r="Q29" s="390"/>
      <c r="R29" s="390"/>
      <c r="S29" s="390"/>
      <c r="T29" s="390"/>
      <c r="U29" s="390"/>
      <c r="V29" s="390"/>
    </row>
    <row r="30" ht="27.0" customHeight="1">
      <c r="A30" s="392" t="s">
        <v>317</v>
      </c>
      <c r="B30" s="400"/>
      <c r="C30" s="390"/>
      <c r="D30" s="390"/>
      <c r="E30" s="390"/>
      <c r="F30" s="390"/>
      <c r="G30" s="390"/>
      <c r="H30" s="390"/>
      <c r="I30" s="390"/>
      <c r="J30" s="390"/>
      <c r="K30" s="390"/>
      <c r="L30" s="390"/>
      <c r="M30" s="390"/>
      <c r="N30" s="390"/>
      <c r="O30" s="390"/>
      <c r="P30" s="390"/>
      <c r="Q30" s="390"/>
      <c r="R30" s="390"/>
      <c r="S30" s="390"/>
      <c r="T30" s="390"/>
      <c r="U30" s="390"/>
      <c r="V30" s="390"/>
    </row>
    <row r="31" ht="27.0" customHeight="1">
      <c r="A31" s="392" t="s">
        <v>318</v>
      </c>
      <c r="B31" s="400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0"/>
      <c r="R31" s="390"/>
      <c r="S31" s="390"/>
      <c r="T31" s="390"/>
      <c r="U31" s="390"/>
      <c r="V31" s="390"/>
    </row>
    <row r="32" ht="27.0" customHeight="1">
      <c r="A32" s="399" t="s">
        <v>321</v>
      </c>
      <c r="B32" s="400"/>
      <c r="C32" s="390"/>
      <c r="D32" s="390"/>
      <c r="E32" s="390"/>
      <c r="F32" s="390"/>
      <c r="G32" s="390"/>
      <c r="H32" s="390"/>
      <c r="I32" s="390"/>
      <c r="J32" s="390"/>
      <c r="K32" s="390"/>
      <c r="L32" s="390"/>
      <c r="M32" s="390"/>
      <c r="N32" s="390"/>
      <c r="O32" s="390"/>
      <c r="P32" s="390"/>
      <c r="Q32" s="390"/>
      <c r="R32" s="390"/>
      <c r="S32" s="390"/>
      <c r="T32" s="390"/>
      <c r="U32" s="390"/>
      <c r="V32" s="390"/>
    </row>
    <row r="33" ht="27.0" customHeight="1">
      <c r="A33" s="392" t="s">
        <v>303</v>
      </c>
      <c r="B33" s="400"/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  <c r="T33" s="390"/>
      <c r="U33" s="390"/>
      <c r="V33" s="390"/>
    </row>
    <row r="34" ht="27.0" customHeight="1">
      <c r="A34" s="392" t="s">
        <v>302</v>
      </c>
      <c r="B34" s="400"/>
      <c r="C34" s="390"/>
      <c r="D34" s="390"/>
      <c r="E34" s="390"/>
      <c r="F34" s="390"/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  <c r="T34" s="390"/>
      <c r="U34" s="390"/>
      <c r="V34" s="390"/>
    </row>
    <row r="35" ht="27.0" customHeight="1">
      <c r="A35" s="392" t="s">
        <v>303</v>
      </c>
      <c r="B35" s="400"/>
      <c r="C35" s="390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0"/>
      <c r="V35" s="390"/>
    </row>
    <row r="36" ht="27.0" customHeight="1">
      <c r="A36" s="392" t="s">
        <v>322</v>
      </c>
      <c r="B36" s="400"/>
      <c r="C36" s="390"/>
      <c r="D36" s="390"/>
      <c r="E36" s="390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  <c r="Q36" s="390"/>
      <c r="R36" s="390"/>
      <c r="S36" s="390"/>
      <c r="T36" s="390"/>
      <c r="U36" s="390"/>
      <c r="V36" s="390"/>
    </row>
    <row r="37" ht="27.0" customHeight="1">
      <c r="A37" s="392" t="s">
        <v>323</v>
      </c>
      <c r="B37" s="400"/>
      <c r="C37" s="390"/>
      <c r="D37" s="390"/>
      <c r="E37" s="390"/>
      <c r="F37" s="390"/>
      <c r="G37" s="390"/>
      <c r="H37" s="390"/>
      <c r="I37" s="390"/>
      <c r="J37" s="390"/>
      <c r="K37" s="390"/>
      <c r="L37" s="390"/>
      <c r="M37" s="390"/>
      <c r="N37" s="390"/>
      <c r="O37" s="390"/>
      <c r="P37" s="390"/>
      <c r="Q37" s="390"/>
      <c r="R37" s="390"/>
      <c r="S37" s="390"/>
      <c r="T37" s="390"/>
      <c r="U37" s="390"/>
      <c r="V37" s="390"/>
    </row>
    <row r="38" ht="27.0" customHeight="1">
      <c r="A38" s="392" t="s">
        <v>324</v>
      </c>
      <c r="B38" s="400"/>
      <c r="C38" s="390"/>
      <c r="D38" s="390"/>
      <c r="E38" s="390"/>
      <c r="F38" s="390"/>
      <c r="G38" s="390"/>
      <c r="H38" s="390"/>
      <c r="I38" s="390"/>
      <c r="J38" s="390"/>
      <c r="K38" s="390"/>
      <c r="L38" s="390"/>
      <c r="M38" s="390"/>
      <c r="N38" s="390"/>
      <c r="O38" s="390"/>
      <c r="P38" s="390"/>
      <c r="Q38" s="390"/>
      <c r="R38" s="390"/>
      <c r="S38" s="390"/>
      <c r="T38" s="390"/>
      <c r="U38" s="390"/>
      <c r="V38" s="390"/>
    </row>
    <row r="39" ht="27.0" customHeight="1">
      <c r="A39" s="392" t="s">
        <v>325</v>
      </c>
      <c r="B39" s="400"/>
      <c r="C39" s="390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</row>
    <row r="40" ht="27.0" customHeight="1">
      <c r="A40" s="392" t="s">
        <v>315</v>
      </c>
      <c r="B40" s="400"/>
      <c r="C40" s="390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</row>
    <row r="41" ht="27.0" customHeight="1">
      <c r="A41" s="392" t="s">
        <v>316</v>
      </c>
      <c r="B41" s="40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</row>
    <row r="42" ht="27.0" customHeight="1">
      <c r="A42" s="392" t="s">
        <v>339</v>
      </c>
      <c r="B42" s="40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0"/>
      <c r="O42" s="390"/>
      <c r="P42" s="390"/>
      <c r="Q42" s="390"/>
      <c r="R42" s="390"/>
      <c r="S42" s="390"/>
      <c r="T42" s="390"/>
      <c r="U42" s="390"/>
      <c r="V42" s="390"/>
    </row>
    <row r="43" ht="27.0" customHeight="1">
      <c r="A43" s="392" t="s">
        <v>317</v>
      </c>
      <c r="B43" s="400"/>
      <c r="C43" s="390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</row>
    <row r="44" ht="27.0" customHeight="1">
      <c r="A44" s="392" t="s">
        <v>318</v>
      </c>
      <c r="B44" s="40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  <c r="P44" s="390"/>
      <c r="Q44" s="390"/>
      <c r="R44" s="390"/>
      <c r="S44" s="390"/>
      <c r="T44" s="390"/>
      <c r="U44" s="390"/>
      <c r="V44" s="390"/>
    </row>
    <row r="45" ht="30.75" customHeight="1">
      <c r="A45" s="390"/>
      <c r="B45" s="39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0"/>
      <c r="O45" s="390"/>
      <c r="P45" s="390"/>
      <c r="Q45" s="390"/>
      <c r="R45" s="390"/>
      <c r="S45" s="390"/>
      <c r="T45" s="390"/>
      <c r="U45" s="390"/>
      <c r="V45" s="390"/>
    </row>
    <row r="46" ht="30.75" customHeight="1">
      <c r="A46" s="390"/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0"/>
      <c r="O46" s="390"/>
      <c r="P46" s="390"/>
      <c r="Q46" s="390"/>
      <c r="R46" s="390"/>
      <c r="S46" s="390"/>
      <c r="T46" s="390"/>
      <c r="U46" s="390"/>
      <c r="V46" s="390"/>
    </row>
    <row r="47" ht="30.75" customHeight="1">
      <c r="A47" s="390"/>
      <c r="B47" s="390"/>
      <c r="C47" s="390"/>
      <c r="D47" s="390"/>
      <c r="E47" s="390"/>
      <c r="F47" s="390"/>
      <c r="G47" s="390"/>
      <c r="H47" s="390"/>
      <c r="I47" s="390"/>
      <c r="J47" s="390"/>
      <c r="K47" s="390"/>
      <c r="L47" s="390"/>
      <c r="M47" s="390"/>
      <c r="N47" s="390"/>
      <c r="O47" s="390"/>
      <c r="P47" s="390"/>
      <c r="Q47" s="390"/>
      <c r="R47" s="390"/>
      <c r="S47" s="390"/>
      <c r="T47" s="390"/>
      <c r="U47" s="390"/>
      <c r="V47" s="390"/>
    </row>
    <row r="48" ht="30.75" customHeight="1">
      <c r="A48" s="390"/>
      <c r="B48" s="390"/>
      <c r="C48" s="390"/>
      <c r="D48" s="390"/>
      <c r="E48" s="390"/>
      <c r="F48" s="390"/>
      <c r="G48" s="390"/>
      <c r="H48" s="390"/>
      <c r="I48" s="390"/>
      <c r="J48" s="390"/>
      <c r="K48" s="390"/>
      <c r="L48" s="390"/>
      <c r="M48" s="390"/>
      <c r="N48" s="390"/>
      <c r="O48" s="390"/>
      <c r="P48" s="390"/>
      <c r="Q48" s="390"/>
      <c r="R48" s="390"/>
      <c r="S48" s="390"/>
      <c r="T48" s="390"/>
      <c r="U48" s="390"/>
      <c r="V48" s="390"/>
    </row>
    <row r="49" ht="30.75" customHeight="1">
      <c r="A49" s="390"/>
      <c r="B49" s="390"/>
      <c r="C49" s="390"/>
      <c r="D49" s="390"/>
      <c r="E49" s="390"/>
      <c r="F49" s="390"/>
      <c r="G49" s="390"/>
      <c r="H49" s="390"/>
      <c r="I49" s="390"/>
      <c r="J49" s="390"/>
      <c r="K49" s="390"/>
      <c r="L49" s="390"/>
      <c r="M49" s="390"/>
      <c r="N49" s="390"/>
      <c r="O49" s="390"/>
      <c r="P49" s="390"/>
      <c r="Q49" s="390"/>
      <c r="R49" s="390"/>
      <c r="S49" s="390"/>
      <c r="T49" s="390"/>
      <c r="U49" s="390"/>
      <c r="V49" s="390"/>
    </row>
    <row r="50" ht="30.75" customHeight="1">
      <c r="A50" s="390"/>
      <c r="B50" s="390"/>
      <c r="C50" s="390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390"/>
      <c r="O50" s="390"/>
      <c r="P50" s="390"/>
      <c r="Q50" s="390"/>
      <c r="R50" s="390"/>
      <c r="S50" s="390"/>
      <c r="T50" s="390"/>
      <c r="U50" s="390"/>
      <c r="V50" s="390"/>
    </row>
    <row r="51" ht="30.75" customHeight="1">
      <c r="A51" s="390"/>
      <c r="B51" s="390"/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390"/>
      <c r="U51" s="390"/>
      <c r="V51" s="390"/>
    </row>
    <row r="52" ht="30.75" customHeight="1">
      <c r="A52" s="390"/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  <c r="T52" s="390"/>
      <c r="U52" s="390"/>
      <c r="V52" s="390"/>
    </row>
    <row r="53" ht="30.75" customHeight="1">
      <c r="A53" s="390"/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  <c r="T53" s="390"/>
      <c r="U53" s="390"/>
      <c r="V53" s="390"/>
    </row>
    <row r="54" ht="30.75" customHeight="1">
      <c r="A54" s="390"/>
      <c r="B54" s="39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</row>
    <row r="55" ht="30.75" customHeight="1">
      <c r="A55" s="390"/>
      <c r="B55" s="390"/>
      <c r="C55" s="390"/>
      <c r="D55" s="390"/>
      <c r="E55" s="390"/>
      <c r="F55" s="390"/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  <c r="T55" s="390"/>
      <c r="U55" s="390"/>
      <c r="V55" s="390"/>
    </row>
    <row r="56" ht="30.75" customHeight="1">
      <c r="A56" s="390"/>
      <c r="B56" s="390"/>
      <c r="C56" s="390"/>
      <c r="D56" s="390"/>
      <c r="E56" s="390"/>
      <c r="F56" s="390"/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</row>
    <row r="57" ht="30.75" customHeight="1">
      <c r="A57" s="390"/>
      <c r="B57" s="390"/>
      <c r="C57" s="390"/>
      <c r="D57" s="390"/>
      <c r="E57" s="390"/>
      <c r="F57" s="390"/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  <c r="T57" s="390"/>
      <c r="U57" s="390"/>
      <c r="V57" s="390"/>
    </row>
    <row r="58" ht="30.75" customHeight="1">
      <c r="A58" s="390"/>
      <c r="B58" s="390"/>
      <c r="C58" s="390"/>
      <c r="D58" s="390"/>
      <c r="E58" s="390"/>
      <c r="F58" s="390"/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  <c r="T58" s="390"/>
      <c r="U58" s="390"/>
      <c r="V58" s="390"/>
    </row>
    <row r="59" ht="30.75" customHeight="1">
      <c r="A59" s="390"/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  <c r="T59" s="390"/>
      <c r="U59" s="390"/>
      <c r="V59" s="390"/>
    </row>
    <row r="60" ht="30.75" customHeight="1">
      <c r="A60" s="390"/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  <c r="T60" s="390"/>
      <c r="U60" s="390"/>
      <c r="V60" s="390"/>
    </row>
    <row r="61" ht="30.75" customHeight="1">
      <c r="A61" s="390"/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  <c r="T61" s="390"/>
      <c r="U61" s="390"/>
      <c r="V61" s="390"/>
    </row>
    <row r="62" ht="30.75" customHeight="1">
      <c r="A62" s="390"/>
      <c r="B62" s="390"/>
      <c r="C62" s="390"/>
      <c r="D62" s="390"/>
      <c r="E62" s="390"/>
      <c r="F62" s="390"/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  <c r="T62" s="390"/>
      <c r="U62" s="390"/>
      <c r="V62" s="390"/>
    </row>
    <row r="63" ht="30.75" customHeight="1">
      <c r="A63" s="390"/>
      <c r="B63" s="390"/>
      <c r="C63" s="390"/>
      <c r="D63" s="390"/>
      <c r="E63" s="390"/>
      <c r="F63" s="390"/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  <c r="T63" s="390"/>
      <c r="U63" s="390"/>
      <c r="V63" s="390"/>
    </row>
    <row r="64" ht="30.75" customHeight="1">
      <c r="A64" s="390"/>
      <c r="B64" s="390"/>
      <c r="C64" s="390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</row>
    <row r="65" ht="30.75" customHeight="1">
      <c r="A65" s="390"/>
      <c r="B65" s="390"/>
      <c r="C65" s="390"/>
      <c r="D65" s="390"/>
      <c r="E65" s="390"/>
      <c r="F65" s="390"/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  <c r="T65" s="390"/>
      <c r="U65" s="390"/>
      <c r="V65" s="390"/>
    </row>
    <row r="66" ht="30.75" customHeight="1">
      <c r="A66" s="390"/>
      <c r="B66" s="390"/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  <c r="T66" s="390"/>
      <c r="U66" s="390"/>
      <c r="V66" s="390"/>
    </row>
    <row r="67" ht="30.75" customHeight="1">
      <c r="A67" s="390"/>
      <c r="B67" s="390"/>
      <c r="C67" s="390"/>
      <c r="D67" s="390"/>
      <c r="E67" s="390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  <c r="T67" s="390"/>
      <c r="U67" s="390"/>
      <c r="V67" s="390"/>
    </row>
    <row r="68" ht="30.75" customHeight="1">
      <c r="A68" s="390"/>
      <c r="B68" s="390"/>
      <c r="C68" s="390"/>
      <c r="D68" s="390"/>
      <c r="E68" s="390"/>
      <c r="F68" s="390"/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  <c r="T68" s="390"/>
      <c r="U68" s="390"/>
      <c r="V68" s="390"/>
    </row>
    <row r="69" ht="30.75" customHeight="1">
      <c r="A69" s="390"/>
      <c r="B69" s="390"/>
      <c r="C69" s="390"/>
      <c r="D69" s="390"/>
      <c r="E69" s="390"/>
      <c r="F69" s="390"/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</row>
    <row r="70" ht="30.75" customHeight="1">
      <c r="A70" s="390"/>
      <c r="B70" s="390"/>
      <c r="C70" s="390"/>
      <c r="D70" s="390"/>
      <c r="E70" s="390"/>
      <c r="F70" s="390"/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  <c r="T70" s="390"/>
      <c r="U70" s="390"/>
      <c r="V70" s="390"/>
    </row>
    <row r="71" ht="30.75" customHeight="1">
      <c r="A71" s="390"/>
      <c r="B71" s="390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</row>
    <row r="72" ht="30.75" customHeight="1">
      <c r="A72" s="390"/>
      <c r="B72" s="390"/>
      <c r="C72" s="390"/>
      <c r="D72" s="390"/>
      <c r="E72" s="390"/>
      <c r="F72" s="390"/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  <c r="T72" s="390"/>
      <c r="U72" s="390"/>
      <c r="V72" s="390"/>
    </row>
    <row r="73" ht="30.75" customHeight="1">
      <c r="A73" s="390"/>
      <c r="B73" s="390"/>
      <c r="C73" s="390"/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  <c r="T73" s="390"/>
      <c r="U73" s="390"/>
      <c r="V73" s="390"/>
    </row>
    <row r="74" ht="30.75" customHeight="1">
      <c r="A74" s="390"/>
      <c r="B74" s="390"/>
      <c r="C74" s="390"/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  <c r="T74" s="390"/>
      <c r="U74" s="390"/>
      <c r="V74" s="390"/>
    </row>
    <row r="75" ht="30.75" customHeight="1">
      <c r="A75" s="390"/>
      <c r="B75" s="390"/>
      <c r="C75" s="390"/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  <c r="T75" s="390"/>
      <c r="U75" s="390"/>
      <c r="V75" s="390"/>
    </row>
    <row r="76" ht="30.75" customHeight="1">
      <c r="A76" s="390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  <c r="T76" s="390"/>
      <c r="U76" s="390"/>
      <c r="V76" s="390"/>
    </row>
    <row r="77" ht="30.75" customHeight="1">
      <c r="A77" s="390"/>
      <c r="B77" s="390"/>
      <c r="C77" s="390"/>
      <c r="D77" s="390"/>
      <c r="E77" s="390"/>
      <c r="F77" s="390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  <c r="T77" s="390"/>
      <c r="U77" s="390"/>
      <c r="V77" s="390"/>
    </row>
    <row r="78" ht="30.75" customHeight="1">
      <c r="A78" s="390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</row>
    <row r="79" ht="30.75" customHeight="1">
      <c r="A79" s="390"/>
      <c r="B79" s="390"/>
      <c r="C79" s="390"/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  <c r="T79" s="390"/>
      <c r="U79" s="390"/>
      <c r="V79" s="390"/>
    </row>
    <row r="80" ht="30.75" customHeight="1">
      <c r="A80" s="390"/>
      <c r="B80" s="390"/>
      <c r="C80" s="390"/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  <c r="T80" s="390"/>
      <c r="U80" s="390"/>
      <c r="V80" s="390"/>
    </row>
    <row r="81" ht="30.75" customHeight="1">
      <c r="A81" s="390"/>
      <c r="B81" s="390"/>
      <c r="C81" s="390"/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  <c r="T81" s="390"/>
      <c r="U81" s="390"/>
      <c r="V81" s="390"/>
    </row>
    <row r="82" ht="30.75" customHeight="1">
      <c r="A82" s="390"/>
      <c r="B82" s="390"/>
      <c r="C82" s="390"/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  <c r="T82" s="390"/>
      <c r="U82" s="390"/>
      <c r="V82" s="390"/>
    </row>
    <row r="83" ht="30.75" customHeight="1">
      <c r="A83" s="390"/>
      <c r="B83" s="390"/>
      <c r="C83" s="390"/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  <c r="T83" s="390"/>
      <c r="U83" s="390"/>
      <c r="V83" s="390"/>
    </row>
    <row r="84" ht="30.75" customHeight="1">
      <c r="A84" s="390"/>
      <c r="B84" s="390"/>
      <c r="C84" s="390"/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  <c r="T84" s="390"/>
      <c r="U84" s="390"/>
      <c r="V84" s="390"/>
    </row>
    <row r="85" ht="30.75" customHeight="1">
      <c r="A85" s="390"/>
      <c r="B85" s="390"/>
      <c r="C85" s="390"/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  <c r="T85" s="390"/>
      <c r="U85" s="390"/>
      <c r="V85" s="390"/>
    </row>
    <row r="86" ht="30.75" customHeight="1">
      <c r="A86" s="390"/>
      <c r="B86" s="390"/>
      <c r="C86" s="390"/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  <c r="T86" s="390"/>
      <c r="U86" s="390"/>
      <c r="V86" s="390"/>
    </row>
    <row r="87" ht="30.75" customHeight="1">
      <c r="A87" s="390"/>
      <c r="B87" s="390"/>
      <c r="C87" s="390"/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  <c r="T87" s="390"/>
      <c r="U87" s="390"/>
      <c r="V87" s="390"/>
    </row>
    <row r="88" ht="30.75" customHeight="1">
      <c r="A88" s="390"/>
      <c r="B88" s="390"/>
      <c r="C88" s="390"/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  <c r="T88" s="390"/>
      <c r="U88" s="390"/>
      <c r="V88" s="390"/>
    </row>
    <row r="89" ht="30.75" customHeight="1">
      <c r="A89" s="390"/>
      <c r="B89" s="390"/>
      <c r="C89" s="390"/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  <c r="T89" s="390"/>
      <c r="U89" s="390"/>
      <c r="V89" s="390"/>
    </row>
    <row r="90" ht="30.75" customHeight="1">
      <c r="A90" s="390"/>
      <c r="B90" s="390"/>
      <c r="C90" s="390"/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  <c r="T90" s="390"/>
      <c r="U90" s="390"/>
      <c r="V90" s="390"/>
    </row>
    <row r="91" ht="30.75" customHeight="1">
      <c r="A91" s="390"/>
      <c r="B91" s="390"/>
      <c r="C91" s="390"/>
      <c r="D91" s="390"/>
      <c r="E91" s="390"/>
      <c r="F91" s="390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  <c r="T91" s="390"/>
      <c r="U91" s="390"/>
      <c r="V91" s="390"/>
    </row>
    <row r="92" ht="30.75" customHeight="1">
      <c r="A92" s="390"/>
      <c r="B92" s="390"/>
      <c r="C92" s="390"/>
      <c r="D92" s="390"/>
      <c r="E92" s="390"/>
      <c r="F92" s="390"/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  <c r="T92" s="390"/>
      <c r="U92" s="390"/>
      <c r="V92" s="390"/>
    </row>
    <row r="93" ht="30.75" customHeight="1">
      <c r="A93" s="390"/>
      <c r="B93" s="390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  <c r="T93" s="390"/>
      <c r="U93" s="390"/>
      <c r="V93" s="390"/>
    </row>
    <row r="94" ht="30.75" customHeight="1">
      <c r="A94" s="390"/>
      <c r="B94" s="390"/>
      <c r="C94" s="390"/>
      <c r="D94" s="390"/>
      <c r="E94" s="390"/>
      <c r="F94" s="390"/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  <c r="T94" s="390"/>
      <c r="U94" s="390"/>
      <c r="V94" s="390"/>
    </row>
    <row r="95" ht="30.75" customHeight="1">
      <c r="A95" s="390"/>
      <c r="B95" s="390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  <c r="T95" s="390"/>
      <c r="U95" s="390"/>
      <c r="V95" s="390"/>
    </row>
    <row r="96" ht="30.75" customHeight="1">
      <c r="A96" s="390"/>
      <c r="B96" s="390"/>
      <c r="C96" s="390"/>
      <c r="D96" s="390"/>
      <c r="E96" s="390"/>
      <c r="F96" s="390"/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  <c r="T96" s="390"/>
      <c r="U96" s="390"/>
      <c r="V96" s="390"/>
    </row>
    <row r="97" ht="30.75" customHeight="1">
      <c r="A97" s="390"/>
      <c r="B97" s="390"/>
      <c r="C97" s="390"/>
      <c r="D97" s="390"/>
      <c r="E97" s="390"/>
      <c r="F97" s="390"/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  <c r="T97" s="390"/>
      <c r="U97" s="390"/>
      <c r="V97" s="390"/>
    </row>
    <row r="98" ht="30.75" customHeight="1">
      <c r="A98" s="390"/>
      <c r="B98" s="390"/>
      <c r="C98" s="390"/>
      <c r="D98" s="390"/>
      <c r="E98" s="390"/>
      <c r="F98" s="390"/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  <c r="T98" s="390"/>
      <c r="U98" s="390"/>
      <c r="V98" s="390"/>
    </row>
    <row r="99" ht="30.75" customHeight="1">
      <c r="A99" s="390"/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</row>
    <row r="100" ht="30.75" customHeight="1">
      <c r="A100" s="390"/>
      <c r="B100" s="390"/>
      <c r="C100" s="390"/>
      <c r="D100" s="390"/>
      <c r="E100" s="390"/>
      <c r="F100" s="390"/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  <c r="T100" s="390"/>
      <c r="U100" s="390"/>
      <c r="V100" s="390"/>
    </row>
    <row r="101" ht="30.75" customHeight="1">
      <c r="A101" s="390"/>
      <c r="B101" s="390"/>
      <c r="C101" s="390"/>
      <c r="D101" s="390"/>
      <c r="E101" s="390"/>
      <c r="F101" s="390"/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  <c r="T101" s="390"/>
      <c r="U101" s="390"/>
      <c r="V101" s="390"/>
    </row>
    <row r="102" ht="30.75" customHeight="1">
      <c r="A102" s="390"/>
      <c r="B102" s="390"/>
      <c r="C102" s="390"/>
      <c r="D102" s="390"/>
      <c r="E102" s="390"/>
      <c r="F102" s="390"/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  <c r="T102" s="390"/>
      <c r="U102" s="390"/>
      <c r="V102" s="390"/>
    </row>
    <row r="103" ht="30.75" customHeight="1">
      <c r="A103" s="390"/>
      <c r="B103" s="390"/>
      <c r="C103" s="390"/>
      <c r="D103" s="390"/>
      <c r="E103" s="390"/>
      <c r="F103" s="390"/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  <c r="T103" s="390"/>
      <c r="U103" s="390"/>
      <c r="V103" s="390"/>
    </row>
    <row r="104" ht="30.75" customHeight="1">
      <c r="A104" s="390"/>
      <c r="B104" s="390"/>
      <c r="C104" s="390"/>
      <c r="D104" s="390"/>
      <c r="E104" s="390"/>
      <c r="F104" s="390"/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  <c r="T104" s="390"/>
      <c r="U104" s="390"/>
      <c r="V104" s="390"/>
    </row>
    <row r="105" ht="30.75" customHeight="1">
      <c r="A105" s="390"/>
      <c r="B105" s="390"/>
      <c r="C105" s="390"/>
      <c r="D105" s="390"/>
      <c r="E105" s="390"/>
      <c r="F105" s="390"/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  <c r="T105" s="390"/>
      <c r="U105" s="390"/>
      <c r="V105" s="390"/>
    </row>
    <row r="106" ht="30.75" customHeight="1">
      <c r="A106" s="390"/>
      <c r="B106" s="390"/>
      <c r="C106" s="390"/>
      <c r="D106" s="390"/>
      <c r="E106" s="390"/>
      <c r="F106" s="390"/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  <c r="T106" s="390"/>
      <c r="U106" s="390"/>
      <c r="V106" s="390"/>
    </row>
    <row r="107" ht="30.75" customHeight="1">
      <c r="A107" s="390"/>
      <c r="B107" s="390"/>
      <c r="C107" s="390"/>
      <c r="D107" s="390"/>
      <c r="E107" s="390"/>
      <c r="F107" s="390"/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  <c r="T107" s="390"/>
      <c r="U107" s="390"/>
      <c r="V107" s="390"/>
    </row>
    <row r="108" ht="30.75" customHeight="1">
      <c r="A108" s="390"/>
      <c r="B108" s="390"/>
      <c r="C108" s="390"/>
      <c r="D108" s="390"/>
      <c r="E108" s="390"/>
      <c r="F108" s="390"/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  <c r="T108" s="390"/>
      <c r="U108" s="390"/>
      <c r="V108" s="390"/>
    </row>
    <row r="109" ht="30.75" customHeight="1">
      <c r="A109" s="390"/>
      <c r="B109" s="390"/>
      <c r="C109" s="390"/>
      <c r="D109" s="390"/>
      <c r="E109" s="390"/>
      <c r="F109" s="390"/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  <c r="T109" s="390"/>
      <c r="U109" s="390"/>
      <c r="V109" s="390"/>
    </row>
    <row r="110" ht="30.75" customHeight="1">
      <c r="A110" s="390"/>
      <c r="B110" s="390"/>
      <c r="C110" s="390"/>
      <c r="D110" s="390"/>
      <c r="E110" s="390"/>
      <c r="F110" s="390"/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  <c r="T110" s="390"/>
      <c r="U110" s="390"/>
      <c r="V110" s="390"/>
    </row>
    <row r="111" ht="30.75" customHeight="1">
      <c r="A111" s="390"/>
      <c r="B111" s="390"/>
      <c r="C111" s="390"/>
      <c r="D111" s="390"/>
      <c r="E111" s="390"/>
      <c r="F111" s="390"/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  <c r="T111" s="390"/>
      <c r="U111" s="390"/>
      <c r="V111" s="390"/>
    </row>
    <row r="112" ht="30.75" customHeight="1">
      <c r="A112" s="390"/>
      <c r="B112" s="390"/>
      <c r="C112" s="390"/>
      <c r="D112" s="390"/>
      <c r="E112" s="390"/>
      <c r="F112" s="390"/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  <c r="T112" s="390"/>
      <c r="U112" s="390"/>
      <c r="V112" s="390"/>
    </row>
    <row r="113" ht="30.75" customHeight="1">
      <c r="A113" s="390"/>
      <c r="B113" s="390"/>
      <c r="C113" s="390"/>
      <c r="D113" s="390"/>
      <c r="E113" s="390"/>
      <c r="F113" s="390"/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  <c r="T113" s="390"/>
      <c r="U113" s="390"/>
      <c r="V113" s="390"/>
    </row>
    <row r="114" ht="30.75" customHeight="1">
      <c r="A114" s="390"/>
      <c r="B114" s="390"/>
      <c r="C114" s="390"/>
      <c r="D114" s="390"/>
      <c r="E114" s="390"/>
      <c r="F114" s="390"/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  <c r="T114" s="390"/>
      <c r="U114" s="390"/>
      <c r="V114" s="390"/>
    </row>
    <row r="115" ht="30.75" customHeight="1">
      <c r="A115" s="390"/>
      <c r="B115" s="390"/>
      <c r="C115" s="390"/>
      <c r="D115" s="390"/>
      <c r="E115" s="390"/>
      <c r="F115" s="390"/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  <c r="T115" s="390"/>
      <c r="U115" s="390"/>
      <c r="V115" s="390"/>
    </row>
    <row r="116" ht="30.75" customHeight="1">
      <c r="A116" s="390"/>
      <c r="B116" s="390"/>
      <c r="C116" s="390"/>
      <c r="D116" s="390"/>
      <c r="E116" s="390"/>
      <c r="F116" s="390"/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  <c r="T116" s="390"/>
      <c r="U116" s="390"/>
      <c r="V116" s="390"/>
    </row>
    <row r="117" ht="30.75" customHeight="1">
      <c r="A117" s="390"/>
      <c r="B117" s="390"/>
      <c r="C117" s="390"/>
      <c r="D117" s="390"/>
      <c r="E117" s="390"/>
      <c r="F117" s="390"/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  <c r="T117" s="390"/>
      <c r="U117" s="390"/>
      <c r="V117" s="390"/>
    </row>
    <row r="118" ht="30.75" customHeight="1">
      <c r="A118" s="390"/>
      <c r="B118" s="390"/>
      <c r="C118" s="390"/>
      <c r="D118" s="390"/>
      <c r="E118" s="390"/>
      <c r="F118" s="390"/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  <c r="T118" s="390"/>
      <c r="U118" s="390"/>
      <c r="V118" s="390"/>
    </row>
    <row r="119" ht="30.75" customHeight="1">
      <c r="A119" s="390"/>
      <c r="B119" s="390"/>
      <c r="C119" s="390"/>
      <c r="D119" s="390"/>
      <c r="E119" s="390"/>
      <c r="F119" s="390"/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  <c r="T119" s="390"/>
      <c r="U119" s="390"/>
      <c r="V119" s="390"/>
    </row>
    <row r="120" ht="30.75" customHeight="1">
      <c r="A120" s="390"/>
      <c r="B120" s="390"/>
      <c r="C120" s="390"/>
      <c r="D120" s="390"/>
      <c r="E120" s="390"/>
      <c r="F120" s="390"/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  <c r="T120" s="390"/>
      <c r="U120" s="390"/>
      <c r="V120" s="390"/>
    </row>
    <row r="121" ht="30.75" customHeight="1">
      <c r="A121" s="390"/>
      <c r="B121" s="390"/>
      <c r="C121" s="390"/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  <c r="T121" s="390"/>
      <c r="U121" s="390"/>
      <c r="V121" s="390"/>
    </row>
    <row r="122" ht="30.75" customHeight="1">
      <c r="A122" s="390"/>
      <c r="B122" s="390"/>
      <c r="C122" s="390"/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  <c r="T122" s="390"/>
      <c r="U122" s="390"/>
      <c r="V122" s="390"/>
    </row>
    <row r="123" ht="30.75" customHeight="1">
      <c r="A123" s="390"/>
      <c r="B123" s="390"/>
      <c r="C123" s="390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  <c r="T123" s="390"/>
      <c r="U123" s="390"/>
      <c r="V123" s="390"/>
    </row>
    <row r="124" ht="30.75" customHeight="1">
      <c r="A124" s="390"/>
      <c r="B124" s="390"/>
      <c r="C124" s="390"/>
      <c r="D124" s="390"/>
      <c r="E124" s="390"/>
      <c r="F124" s="390"/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  <c r="T124" s="390"/>
      <c r="U124" s="390"/>
      <c r="V124" s="390"/>
    </row>
    <row r="125" ht="30.75" customHeight="1">
      <c r="A125" s="390"/>
      <c r="B125" s="390"/>
      <c r="C125" s="390"/>
      <c r="D125" s="390"/>
      <c r="E125" s="390"/>
      <c r="F125" s="390"/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  <c r="T125" s="390"/>
      <c r="U125" s="390"/>
      <c r="V125" s="390"/>
    </row>
    <row r="126" ht="30.75" customHeight="1">
      <c r="A126" s="390"/>
      <c r="B126" s="390"/>
      <c r="C126" s="390"/>
      <c r="D126" s="390"/>
      <c r="E126" s="390"/>
      <c r="F126" s="390"/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</row>
    <row r="127" ht="30.75" customHeight="1">
      <c r="A127" s="390"/>
      <c r="B127" s="390"/>
      <c r="C127" s="390"/>
      <c r="D127" s="390"/>
      <c r="E127" s="390"/>
      <c r="F127" s="390"/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  <c r="T127" s="390"/>
      <c r="U127" s="390"/>
      <c r="V127" s="390"/>
    </row>
    <row r="128" ht="30.75" customHeight="1">
      <c r="A128" s="390"/>
      <c r="B128" s="390"/>
      <c r="C128" s="390"/>
      <c r="D128" s="390"/>
      <c r="E128" s="390"/>
      <c r="F128" s="390"/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  <c r="T128" s="390"/>
      <c r="U128" s="390"/>
      <c r="V128" s="390"/>
    </row>
    <row r="129" ht="30.75" customHeight="1">
      <c r="A129" s="390"/>
      <c r="B129" s="390"/>
      <c r="C129" s="390"/>
      <c r="D129" s="390"/>
      <c r="E129" s="390"/>
      <c r="F129" s="390"/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  <c r="T129" s="390"/>
      <c r="U129" s="390"/>
      <c r="V129" s="390"/>
    </row>
    <row r="130" ht="30.75" customHeight="1">
      <c r="A130" s="390"/>
      <c r="B130" s="390"/>
      <c r="C130" s="390"/>
      <c r="D130" s="390"/>
      <c r="E130" s="390"/>
      <c r="F130" s="390"/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  <c r="T130" s="390"/>
      <c r="U130" s="390"/>
      <c r="V130" s="390"/>
    </row>
    <row r="131" ht="30.75" customHeight="1">
      <c r="A131" s="390"/>
      <c r="B131" s="390"/>
      <c r="C131" s="390"/>
      <c r="D131" s="390"/>
      <c r="E131" s="390"/>
      <c r="F131" s="390"/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  <c r="T131" s="390"/>
      <c r="U131" s="390"/>
      <c r="V131" s="390"/>
    </row>
    <row r="132" ht="30.75" customHeight="1">
      <c r="A132" s="390"/>
      <c r="B132" s="390"/>
      <c r="C132" s="390"/>
      <c r="D132" s="390"/>
      <c r="E132" s="390"/>
      <c r="F132" s="390"/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  <c r="T132" s="390"/>
      <c r="U132" s="390"/>
      <c r="V132" s="390"/>
    </row>
    <row r="133" ht="30.75" customHeight="1">
      <c r="A133" s="390"/>
      <c r="B133" s="390"/>
      <c r="C133" s="390"/>
      <c r="D133" s="390"/>
      <c r="E133" s="390"/>
      <c r="F133" s="390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  <c r="T133" s="390"/>
      <c r="U133" s="390"/>
      <c r="V133" s="390"/>
    </row>
    <row r="134" ht="30.75" customHeight="1">
      <c r="A134" s="390"/>
      <c r="B134" s="390"/>
      <c r="C134" s="390"/>
      <c r="D134" s="390"/>
      <c r="E134" s="390"/>
      <c r="F134" s="390"/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  <c r="T134" s="390"/>
      <c r="U134" s="390"/>
      <c r="V134" s="390"/>
    </row>
    <row r="135" ht="30.75" customHeight="1">
      <c r="A135" s="390"/>
      <c r="B135" s="390"/>
      <c r="C135" s="390"/>
      <c r="D135" s="390"/>
      <c r="E135" s="390"/>
      <c r="F135" s="390"/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  <c r="T135" s="390"/>
      <c r="U135" s="390"/>
      <c r="V135" s="390"/>
    </row>
    <row r="136" ht="30.75" customHeight="1">
      <c r="A136" s="390"/>
      <c r="B136" s="390"/>
      <c r="C136" s="390"/>
      <c r="D136" s="390"/>
      <c r="E136" s="390"/>
      <c r="F136" s="390"/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  <c r="T136" s="390"/>
      <c r="U136" s="390"/>
      <c r="V136" s="390"/>
    </row>
    <row r="137" ht="30.75" customHeight="1">
      <c r="A137" s="390"/>
      <c r="B137" s="390"/>
      <c r="C137" s="390"/>
      <c r="D137" s="390"/>
      <c r="E137" s="390"/>
      <c r="F137" s="390"/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  <c r="T137" s="390"/>
      <c r="U137" s="390"/>
      <c r="V137" s="390"/>
    </row>
    <row r="138" ht="30.75" customHeight="1">
      <c r="A138" s="390"/>
      <c r="B138" s="390"/>
      <c r="C138" s="390"/>
      <c r="D138" s="390"/>
      <c r="E138" s="390"/>
      <c r="F138" s="390"/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  <c r="T138" s="390"/>
      <c r="U138" s="390"/>
      <c r="V138" s="390"/>
    </row>
    <row r="139" ht="30.75" customHeight="1">
      <c r="A139" s="390"/>
      <c r="B139" s="390"/>
      <c r="C139" s="390"/>
      <c r="D139" s="390"/>
      <c r="E139" s="390"/>
      <c r="F139" s="390"/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  <c r="T139" s="390"/>
      <c r="U139" s="390"/>
      <c r="V139" s="390"/>
    </row>
    <row r="140" ht="30.75" customHeight="1">
      <c r="A140" s="390"/>
      <c r="B140" s="390"/>
      <c r="C140" s="390"/>
      <c r="D140" s="390"/>
      <c r="E140" s="390"/>
      <c r="F140" s="390"/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  <c r="T140" s="390"/>
      <c r="U140" s="390"/>
      <c r="V140" s="390"/>
    </row>
    <row r="141" ht="30.75" customHeight="1">
      <c r="A141" s="390"/>
      <c r="B141" s="390"/>
      <c r="C141" s="390"/>
      <c r="D141" s="390"/>
      <c r="E141" s="390"/>
      <c r="F141" s="390"/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  <c r="T141" s="390"/>
      <c r="U141" s="390"/>
      <c r="V141" s="390"/>
    </row>
    <row r="142" ht="30.75" customHeight="1">
      <c r="A142" s="390"/>
      <c r="B142" s="390"/>
      <c r="C142" s="390"/>
      <c r="D142" s="390"/>
      <c r="E142" s="390"/>
      <c r="F142" s="390"/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</row>
    <row r="143" ht="30.75" customHeight="1">
      <c r="A143" s="390"/>
      <c r="B143" s="390"/>
      <c r="C143" s="390"/>
      <c r="D143" s="390"/>
      <c r="E143" s="390"/>
      <c r="F143" s="390"/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</row>
    <row r="144" ht="30.75" customHeight="1">
      <c r="A144" s="390"/>
      <c r="B144" s="390"/>
      <c r="C144" s="390"/>
      <c r="D144" s="390"/>
      <c r="E144" s="390"/>
      <c r="F144" s="390"/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</row>
    <row r="145" ht="30.75" customHeight="1">
      <c r="A145" s="390"/>
      <c r="B145" s="390"/>
      <c r="C145" s="390"/>
      <c r="D145" s="390"/>
      <c r="E145" s="390"/>
      <c r="F145" s="390"/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</row>
    <row r="146" ht="30.75" customHeight="1">
      <c r="A146" s="390"/>
      <c r="B146" s="390"/>
      <c r="C146" s="390"/>
      <c r="D146" s="390"/>
      <c r="E146" s="390"/>
      <c r="F146" s="390"/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</row>
    <row r="147" ht="30.75" customHeight="1">
      <c r="A147" s="390"/>
      <c r="B147" s="390"/>
      <c r="C147" s="390"/>
      <c r="D147" s="390"/>
      <c r="E147" s="390"/>
      <c r="F147" s="390"/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  <c r="T147" s="390"/>
      <c r="U147" s="390"/>
      <c r="V147" s="390"/>
    </row>
    <row r="148" ht="30.75" customHeight="1">
      <c r="A148" s="390"/>
      <c r="B148" s="390"/>
      <c r="C148" s="390"/>
      <c r="D148" s="390"/>
      <c r="E148" s="390"/>
      <c r="F148" s="390"/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  <c r="T148" s="390"/>
      <c r="U148" s="390"/>
      <c r="V148" s="390"/>
    </row>
    <row r="149" ht="30.75" customHeight="1">
      <c r="A149" s="390"/>
      <c r="B149" s="390"/>
      <c r="C149" s="390"/>
      <c r="D149" s="390"/>
      <c r="E149" s="390"/>
      <c r="F149" s="390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  <c r="T149" s="390"/>
      <c r="U149" s="390"/>
      <c r="V149" s="390"/>
    </row>
    <row r="150" ht="30.75" customHeight="1">
      <c r="A150" s="390"/>
      <c r="B150" s="390"/>
      <c r="C150" s="390"/>
      <c r="D150" s="390"/>
      <c r="E150" s="390"/>
      <c r="F150" s="390"/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  <c r="T150" s="390"/>
      <c r="U150" s="390"/>
      <c r="V150" s="390"/>
    </row>
    <row r="151" ht="30.75" customHeight="1">
      <c r="A151" s="390"/>
      <c r="B151" s="390"/>
      <c r="C151" s="390"/>
      <c r="D151" s="390"/>
      <c r="E151" s="390"/>
      <c r="F151" s="390"/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  <c r="T151" s="390"/>
      <c r="U151" s="390"/>
      <c r="V151" s="390"/>
    </row>
    <row r="152" ht="30.75" customHeight="1">
      <c r="A152" s="390"/>
      <c r="B152" s="390"/>
      <c r="C152" s="390"/>
      <c r="D152" s="390"/>
      <c r="E152" s="390"/>
      <c r="F152" s="390"/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  <c r="T152" s="390"/>
      <c r="U152" s="390"/>
      <c r="V152" s="390"/>
    </row>
    <row r="153" ht="30.75" customHeight="1">
      <c r="A153" s="390"/>
      <c r="B153" s="390"/>
      <c r="C153" s="390"/>
      <c r="D153" s="390"/>
      <c r="E153" s="390"/>
      <c r="F153" s="390"/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  <c r="T153" s="390"/>
      <c r="U153" s="390"/>
      <c r="V153" s="390"/>
    </row>
    <row r="154" ht="30.75" customHeight="1">
      <c r="A154" s="390"/>
      <c r="B154" s="390"/>
      <c r="C154" s="390"/>
      <c r="D154" s="390"/>
      <c r="E154" s="390"/>
      <c r="F154" s="390"/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  <c r="T154" s="390"/>
      <c r="U154" s="390"/>
      <c r="V154" s="390"/>
    </row>
    <row r="155" ht="30.75" customHeight="1">
      <c r="A155" s="390"/>
      <c r="B155" s="390"/>
      <c r="C155" s="390"/>
      <c r="D155" s="390"/>
      <c r="E155" s="390"/>
      <c r="F155" s="390"/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  <c r="T155" s="390"/>
      <c r="U155" s="390"/>
      <c r="V155" s="390"/>
    </row>
    <row r="156" ht="30.75" customHeight="1">
      <c r="A156" s="390"/>
      <c r="B156" s="390"/>
      <c r="C156" s="390"/>
      <c r="D156" s="390"/>
      <c r="E156" s="390"/>
      <c r="F156" s="390"/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  <c r="T156" s="390"/>
      <c r="U156" s="390"/>
      <c r="V156" s="390"/>
    </row>
    <row r="157" ht="30.75" customHeight="1">
      <c r="A157" s="390"/>
      <c r="B157" s="390"/>
      <c r="C157" s="390"/>
      <c r="D157" s="390"/>
      <c r="E157" s="390"/>
      <c r="F157" s="390"/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  <c r="T157" s="390"/>
      <c r="U157" s="390"/>
      <c r="V157" s="390"/>
    </row>
    <row r="158" ht="30.75" customHeight="1">
      <c r="A158" s="390"/>
      <c r="B158" s="390"/>
      <c r="C158" s="390"/>
      <c r="D158" s="390"/>
      <c r="E158" s="390"/>
      <c r="F158" s="390"/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  <c r="T158" s="390"/>
      <c r="U158" s="390"/>
      <c r="V158" s="390"/>
    </row>
    <row r="159" ht="30.75" customHeight="1">
      <c r="A159" s="390"/>
      <c r="B159" s="390"/>
      <c r="C159" s="390"/>
      <c r="D159" s="390"/>
      <c r="E159" s="390"/>
      <c r="F159" s="390"/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  <c r="T159" s="390"/>
      <c r="U159" s="390"/>
      <c r="V159" s="390"/>
    </row>
    <row r="160" ht="30.75" customHeight="1">
      <c r="A160" s="390"/>
      <c r="B160" s="390"/>
      <c r="C160" s="390"/>
      <c r="D160" s="390"/>
      <c r="E160" s="390"/>
      <c r="F160" s="390"/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  <c r="T160" s="390"/>
      <c r="U160" s="390"/>
      <c r="V160" s="390"/>
    </row>
    <row r="161" ht="30.75" customHeight="1">
      <c r="A161" s="390"/>
      <c r="B161" s="390"/>
      <c r="C161" s="390"/>
      <c r="D161" s="390"/>
      <c r="E161" s="390"/>
      <c r="F161" s="390"/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  <c r="T161" s="390"/>
      <c r="U161" s="390"/>
      <c r="V161" s="390"/>
    </row>
    <row r="162" ht="30.75" customHeight="1">
      <c r="A162" s="390"/>
      <c r="B162" s="390"/>
      <c r="C162" s="390"/>
      <c r="D162" s="390"/>
      <c r="E162" s="390"/>
      <c r="F162" s="390"/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  <c r="T162" s="390"/>
      <c r="U162" s="390"/>
      <c r="V162" s="390"/>
    </row>
    <row r="163" ht="30.75" customHeight="1">
      <c r="A163" s="390"/>
      <c r="B163" s="390"/>
      <c r="C163" s="390"/>
      <c r="D163" s="390"/>
      <c r="E163" s="390"/>
      <c r="F163" s="390"/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  <c r="T163" s="390"/>
      <c r="U163" s="390"/>
      <c r="V163" s="390"/>
    </row>
    <row r="164" ht="30.75" customHeight="1">
      <c r="A164" s="390"/>
      <c r="B164" s="390"/>
      <c r="C164" s="390"/>
      <c r="D164" s="390"/>
      <c r="E164" s="390"/>
      <c r="F164" s="390"/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  <c r="T164" s="390"/>
      <c r="U164" s="390"/>
      <c r="V164" s="390"/>
    </row>
    <row r="165" ht="30.75" customHeight="1">
      <c r="A165" s="390"/>
      <c r="B165" s="390"/>
      <c r="C165" s="390"/>
      <c r="D165" s="390"/>
      <c r="E165" s="390"/>
      <c r="F165" s="390"/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  <c r="T165" s="390"/>
      <c r="U165" s="390"/>
      <c r="V165" s="390"/>
    </row>
    <row r="166" ht="30.75" customHeight="1">
      <c r="A166" s="390"/>
      <c r="B166" s="390"/>
      <c r="C166" s="390"/>
      <c r="D166" s="390"/>
      <c r="E166" s="390"/>
      <c r="F166" s="390"/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  <c r="T166" s="390"/>
      <c r="U166" s="390"/>
      <c r="V166" s="390"/>
    </row>
    <row r="167" ht="30.75" customHeight="1">
      <c r="A167" s="390"/>
      <c r="B167" s="390"/>
      <c r="C167" s="390"/>
      <c r="D167" s="390"/>
      <c r="E167" s="390"/>
      <c r="F167" s="390"/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  <c r="T167" s="390"/>
      <c r="U167" s="390"/>
      <c r="V167" s="390"/>
    </row>
    <row r="168" ht="30.75" customHeight="1">
      <c r="A168" s="390"/>
      <c r="B168" s="390"/>
      <c r="C168" s="390"/>
      <c r="D168" s="390"/>
      <c r="E168" s="390"/>
      <c r="F168" s="390"/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  <c r="T168" s="390"/>
      <c r="U168" s="390"/>
      <c r="V168" s="390"/>
    </row>
    <row r="169" ht="30.75" customHeight="1">
      <c r="A169" s="390"/>
      <c r="B169" s="390"/>
      <c r="C169" s="390"/>
      <c r="D169" s="390"/>
      <c r="E169" s="390"/>
      <c r="F169" s="390"/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  <c r="T169" s="390"/>
      <c r="U169" s="390"/>
      <c r="V169" s="390"/>
    </row>
    <row r="170" ht="30.75" customHeight="1">
      <c r="A170" s="390"/>
      <c r="B170" s="390"/>
      <c r="C170" s="390"/>
      <c r="D170" s="390"/>
      <c r="E170" s="390"/>
      <c r="F170" s="390"/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  <c r="T170" s="390"/>
      <c r="U170" s="390"/>
      <c r="V170" s="390"/>
    </row>
    <row r="171" ht="30.75" customHeight="1">
      <c r="A171" s="390"/>
      <c r="B171" s="390"/>
      <c r="C171" s="390"/>
      <c r="D171" s="390"/>
      <c r="E171" s="390"/>
      <c r="F171" s="390"/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  <c r="T171" s="390"/>
      <c r="U171" s="390"/>
      <c r="V171" s="390"/>
    </row>
    <row r="172" ht="30.75" customHeight="1">
      <c r="A172" s="390"/>
      <c r="B172" s="390"/>
      <c r="C172" s="390"/>
      <c r="D172" s="390"/>
      <c r="E172" s="390"/>
      <c r="F172" s="390"/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  <c r="T172" s="390"/>
      <c r="U172" s="390"/>
      <c r="V172" s="390"/>
    </row>
    <row r="173" ht="30.75" customHeight="1">
      <c r="A173" s="390"/>
      <c r="B173" s="390"/>
      <c r="C173" s="390"/>
      <c r="D173" s="390"/>
      <c r="E173" s="390"/>
      <c r="F173" s="390"/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  <c r="T173" s="390"/>
      <c r="U173" s="390"/>
      <c r="V173" s="390"/>
    </row>
    <row r="174" ht="30.75" customHeight="1">
      <c r="A174" s="390"/>
      <c r="B174" s="390"/>
      <c r="C174" s="390"/>
      <c r="D174" s="390"/>
      <c r="E174" s="390"/>
      <c r="F174" s="390"/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  <c r="T174" s="390"/>
      <c r="U174" s="390"/>
      <c r="V174" s="390"/>
    </row>
    <row r="175" ht="30.75" customHeight="1">
      <c r="A175" s="390"/>
      <c r="B175" s="390"/>
      <c r="C175" s="390"/>
      <c r="D175" s="390"/>
      <c r="E175" s="390"/>
      <c r="F175" s="390"/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  <c r="T175" s="390"/>
      <c r="U175" s="390"/>
      <c r="V175" s="390"/>
    </row>
    <row r="176" ht="30.75" customHeight="1">
      <c r="A176" s="390"/>
      <c r="B176" s="390"/>
      <c r="C176" s="390"/>
      <c r="D176" s="390"/>
      <c r="E176" s="390"/>
      <c r="F176" s="390"/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  <c r="T176" s="390"/>
      <c r="U176" s="390"/>
      <c r="V176" s="390"/>
    </row>
    <row r="177" ht="30.75" customHeight="1">
      <c r="A177" s="390"/>
      <c r="B177" s="390"/>
      <c r="C177" s="390"/>
      <c r="D177" s="390"/>
      <c r="E177" s="390"/>
      <c r="F177" s="390"/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  <c r="T177" s="390"/>
      <c r="U177" s="390"/>
      <c r="V177" s="390"/>
    </row>
    <row r="178" ht="30.75" customHeight="1">
      <c r="A178" s="390"/>
      <c r="B178" s="390"/>
      <c r="C178" s="390"/>
      <c r="D178" s="390"/>
      <c r="E178" s="390"/>
      <c r="F178" s="390"/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  <c r="T178" s="390"/>
      <c r="U178" s="390"/>
      <c r="V178" s="390"/>
    </row>
    <row r="179" ht="30.75" customHeight="1">
      <c r="A179" s="390"/>
      <c r="B179" s="390"/>
      <c r="C179" s="390"/>
      <c r="D179" s="390"/>
      <c r="E179" s="390"/>
      <c r="F179" s="390"/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  <c r="T179" s="390"/>
      <c r="U179" s="390"/>
      <c r="V179" s="390"/>
    </row>
    <row r="180" ht="30.75" customHeight="1">
      <c r="A180" s="390"/>
      <c r="B180" s="390"/>
      <c r="C180" s="390"/>
      <c r="D180" s="390"/>
      <c r="E180" s="390"/>
      <c r="F180" s="390"/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  <c r="T180" s="390"/>
      <c r="U180" s="390"/>
      <c r="V180" s="390"/>
    </row>
    <row r="181" ht="30.75" customHeight="1">
      <c r="A181" s="390"/>
      <c r="B181" s="390"/>
      <c r="C181" s="390"/>
      <c r="D181" s="390"/>
      <c r="E181" s="390"/>
      <c r="F181" s="390"/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  <c r="T181" s="390"/>
      <c r="U181" s="390"/>
      <c r="V181" s="390"/>
    </row>
    <row r="182" ht="30.75" customHeight="1">
      <c r="A182" s="390"/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  <c r="V182" s="390"/>
    </row>
    <row r="183" ht="30.75" customHeight="1">
      <c r="A183" s="390"/>
      <c r="B183" s="390"/>
      <c r="C183" s="390"/>
      <c r="D183" s="390"/>
      <c r="E183" s="390"/>
      <c r="F183" s="390"/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  <c r="T183" s="390"/>
      <c r="U183" s="390"/>
      <c r="V183" s="390"/>
    </row>
    <row r="184" ht="30.75" customHeight="1">
      <c r="A184" s="390"/>
      <c r="B184" s="390"/>
      <c r="C184" s="390"/>
      <c r="D184" s="390"/>
      <c r="E184" s="390"/>
      <c r="F184" s="390"/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  <c r="T184" s="390"/>
      <c r="U184" s="390"/>
      <c r="V184" s="390"/>
    </row>
    <row r="185" ht="30.75" customHeight="1">
      <c r="A185" s="390"/>
      <c r="B185" s="390"/>
      <c r="C185" s="390"/>
      <c r="D185" s="390"/>
      <c r="E185" s="390"/>
      <c r="F185" s="390"/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  <c r="T185" s="390"/>
      <c r="U185" s="390"/>
      <c r="V185" s="390"/>
    </row>
    <row r="186" ht="30.75" customHeight="1">
      <c r="A186" s="390"/>
      <c r="B186" s="390"/>
      <c r="C186" s="390"/>
      <c r="D186" s="390"/>
      <c r="E186" s="390"/>
      <c r="F186" s="390"/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  <c r="T186" s="390"/>
      <c r="U186" s="390"/>
      <c r="V186" s="390"/>
    </row>
    <row r="187" ht="30.75" customHeight="1">
      <c r="A187" s="390"/>
      <c r="B187" s="390"/>
      <c r="C187" s="390"/>
      <c r="D187" s="390"/>
      <c r="E187" s="390"/>
      <c r="F187" s="390"/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  <c r="T187" s="390"/>
      <c r="U187" s="390"/>
      <c r="V187" s="390"/>
    </row>
    <row r="188" ht="30.75" customHeight="1">
      <c r="A188" s="390"/>
      <c r="B188" s="390"/>
      <c r="C188" s="390"/>
      <c r="D188" s="390"/>
      <c r="E188" s="390"/>
      <c r="F188" s="390"/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  <c r="T188" s="390"/>
      <c r="U188" s="390"/>
      <c r="V188" s="390"/>
    </row>
    <row r="189" ht="30.75" customHeight="1">
      <c r="A189" s="390"/>
      <c r="B189" s="390"/>
      <c r="C189" s="390"/>
      <c r="D189" s="390"/>
      <c r="E189" s="390"/>
      <c r="F189" s="390"/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  <c r="T189" s="390"/>
      <c r="U189" s="390"/>
      <c r="V189" s="390"/>
    </row>
    <row r="190" ht="30.75" customHeight="1">
      <c r="A190" s="390"/>
      <c r="B190" s="390"/>
      <c r="C190" s="390"/>
      <c r="D190" s="390"/>
      <c r="E190" s="390"/>
      <c r="F190" s="390"/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  <c r="T190" s="390"/>
      <c r="U190" s="390"/>
      <c r="V190" s="390"/>
    </row>
    <row r="191" ht="30.75" customHeight="1">
      <c r="A191" s="390"/>
      <c r="B191" s="390"/>
      <c r="C191" s="390"/>
      <c r="D191" s="390"/>
      <c r="E191" s="390"/>
      <c r="F191" s="390"/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  <c r="T191" s="390"/>
      <c r="U191" s="390"/>
      <c r="V191" s="390"/>
    </row>
    <row r="192" ht="30.75" customHeight="1">
      <c r="A192" s="390"/>
      <c r="B192" s="390"/>
      <c r="C192" s="390"/>
      <c r="D192" s="390"/>
      <c r="E192" s="390"/>
      <c r="F192" s="390"/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  <c r="T192" s="390"/>
      <c r="U192" s="390"/>
      <c r="V192" s="390"/>
    </row>
    <row r="193" ht="30.75" customHeight="1">
      <c r="A193" s="390"/>
      <c r="B193" s="390"/>
      <c r="C193" s="390"/>
      <c r="D193" s="390"/>
      <c r="E193" s="390"/>
      <c r="F193" s="390"/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  <c r="T193" s="390"/>
      <c r="U193" s="390"/>
      <c r="V193" s="390"/>
    </row>
    <row r="194" ht="30.75" customHeight="1">
      <c r="A194" s="390"/>
      <c r="B194" s="390"/>
      <c r="C194" s="390"/>
      <c r="D194" s="390"/>
      <c r="E194" s="390"/>
      <c r="F194" s="390"/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  <c r="T194" s="390"/>
      <c r="U194" s="390"/>
      <c r="V194" s="390"/>
    </row>
    <row r="195" ht="30.75" customHeight="1">
      <c r="A195" s="390"/>
      <c r="B195" s="390"/>
      <c r="C195" s="390"/>
      <c r="D195" s="390"/>
      <c r="E195" s="390"/>
      <c r="F195" s="390"/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  <c r="T195" s="390"/>
      <c r="U195" s="390"/>
      <c r="V195" s="390"/>
    </row>
    <row r="196" ht="30.75" customHeight="1">
      <c r="A196" s="390"/>
      <c r="B196" s="390"/>
      <c r="C196" s="390"/>
      <c r="D196" s="390"/>
      <c r="E196" s="390"/>
      <c r="F196" s="390"/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  <c r="T196" s="390"/>
      <c r="U196" s="390"/>
      <c r="V196" s="390"/>
    </row>
    <row r="197" ht="30.75" customHeight="1">
      <c r="A197" s="390"/>
      <c r="B197" s="390"/>
      <c r="C197" s="390"/>
      <c r="D197" s="390"/>
      <c r="E197" s="390"/>
      <c r="F197" s="390"/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  <c r="T197" s="390"/>
      <c r="U197" s="390"/>
      <c r="V197" s="390"/>
    </row>
    <row r="198" ht="30.75" customHeight="1">
      <c r="A198" s="390"/>
      <c r="B198" s="390"/>
      <c r="C198" s="390"/>
      <c r="D198" s="390"/>
      <c r="E198" s="390"/>
      <c r="F198" s="390"/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  <c r="T198" s="390"/>
      <c r="U198" s="390"/>
      <c r="V198" s="390"/>
    </row>
    <row r="199" ht="30.75" customHeight="1">
      <c r="A199" s="390"/>
      <c r="B199" s="390"/>
      <c r="C199" s="390"/>
      <c r="D199" s="390"/>
      <c r="E199" s="390"/>
      <c r="F199" s="390"/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  <c r="T199" s="390"/>
      <c r="U199" s="390"/>
      <c r="V199" s="390"/>
    </row>
    <row r="200" ht="30.75" customHeight="1">
      <c r="A200" s="390"/>
      <c r="B200" s="390"/>
      <c r="C200" s="390"/>
      <c r="D200" s="390"/>
      <c r="E200" s="390"/>
      <c r="F200" s="390"/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  <c r="T200" s="390"/>
      <c r="U200" s="390"/>
      <c r="V200" s="390"/>
    </row>
    <row r="201" ht="30.75" customHeight="1">
      <c r="A201" s="390"/>
      <c r="B201" s="390"/>
      <c r="C201" s="390"/>
      <c r="D201" s="390"/>
      <c r="E201" s="390"/>
      <c r="F201" s="390"/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  <c r="T201" s="390"/>
      <c r="U201" s="390"/>
      <c r="V201" s="390"/>
    </row>
    <row r="202" ht="30.75" customHeight="1">
      <c r="A202" s="390"/>
      <c r="B202" s="390"/>
      <c r="C202" s="390"/>
      <c r="D202" s="390"/>
      <c r="E202" s="390"/>
      <c r="F202" s="390"/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  <c r="T202" s="390"/>
      <c r="U202" s="390"/>
      <c r="V202" s="390"/>
    </row>
    <row r="203" ht="30.75" customHeight="1">
      <c r="A203" s="390"/>
      <c r="B203" s="390"/>
      <c r="C203" s="390"/>
      <c r="D203" s="390"/>
      <c r="E203" s="390"/>
      <c r="F203" s="390"/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  <c r="T203" s="390"/>
      <c r="U203" s="390"/>
      <c r="V203" s="390"/>
    </row>
    <row r="204" ht="30.75" customHeight="1">
      <c r="A204" s="390"/>
      <c r="B204" s="390"/>
      <c r="C204" s="390"/>
      <c r="D204" s="390"/>
      <c r="E204" s="390"/>
      <c r="F204" s="390"/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  <c r="T204" s="390"/>
      <c r="U204" s="390"/>
      <c r="V204" s="390"/>
    </row>
    <row r="205" ht="30.75" customHeight="1">
      <c r="A205" s="390"/>
      <c r="B205" s="390"/>
      <c r="C205" s="390"/>
      <c r="D205" s="390"/>
      <c r="E205" s="390"/>
      <c r="F205" s="390"/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  <c r="T205" s="390"/>
      <c r="U205" s="390"/>
      <c r="V205" s="390"/>
    </row>
    <row r="206" ht="30.75" customHeight="1">
      <c r="A206" s="390"/>
      <c r="B206" s="390"/>
      <c r="C206" s="390"/>
      <c r="D206" s="390"/>
      <c r="E206" s="390"/>
      <c r="F206" s="390"/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  <c r="T206" s="390"/>
      <c r="U206" s="390"/>
      <c r="V206" s="390"/>
    </row>
    <row r="207" ht="30.75" customHeight="1">
      <c r="A207" s="390"/>
      <c r="B207" s="390"/>
      <c r="C207" s="390"/>
      <c r="D207" s="390"/>
      <c r="E207" s="390"/>
      <c r="F207" s="390"/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  <c r="T207" s="390"/>
      <c r="U207" s="390"/>
      <c r="V207" s="390"/>
    </row>
    <row r="208" ht="30.75" customHeight="1">
      <c r="A208" s="390"/>
      <c r="B208" s="390"/>
      <c r="C208" s="390"/>
      <c r="D208" s="390"/>
      <c r="E208" s="390"/>
      <c r="F208" s="390"/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  <c r="T208" s="390"/>
      <c r="U208" s="390"/>
      <c r="V208" s="390"/>
    </row>
    <row r="209" ht="30.75" customHeight="1">
      <c r="A209" s="390"/>
      <c r="B209" s="390"/>
      <c r="C209" s="390"/>
      <c r="D209" s="390"/>
      <c r="E209" s="390"/>
      <c r="F209" s="390"/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  <c r="T209" s="390"/>
      <c r="U209" s="390"/>
      <c r="V209" s="390"/>
    </row>
    <row r="210" ht="30.75" customHeight="1">
      <c r="A210" s="390"/>
      <c r="B210" s="390"/>
      <c r="C210" s="390"/>
      <c r="D210" s="390"/>
      <c r="E210" s="390"/>
      <c r="F210" s="390"/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  <c r="T210" s="390"/>
      <c r="U210" s="390"/>
      <c r="V210" s="390"/>
    </row>
    <row r="211" ht="30.75" customHeight="1">
      <c r="A211" s="390"/>
      <c r="B211" s="390"/>
      <c r="C211" s="390"/>
      <c r="D211" s="390"/>
      <c r="E211" s="390"/>
      <c r="F211" s="390"/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  <c r="T211" s="390"/>
      <c r="U211" s="390"/>
      <c r="V211" s="390"/>
    </row>
    <row r="212" ht="30.75" customHeight="1">
      <c r="A212" s="390"/>
      <c r="B212" s="390"/>
      <c r="C212" s="390"/>
      <c r="D212" s="390"/>
      <c r="E212" s="390"/>
      <c r="F212" s="390"/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  <c r="T212" s="390"/>
      <c r="U212" s="390"/>
      <c r="V212" s="390"/>
    </row>
    <row r="213" ht="30.75" customHeight="1">
      <c r="A213" s="390"/>
      <c r="B213" s="390"/>
      <c r="C213" s="390"/>
      <c r="D213" s="390"/>
      <c r="E213" s="390"/>
      <c r="F213" s="390"/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  <c r="T213" s="390"/>
      <c r="U213" s="390"/>
      <c r="V213" s="390"/>
    </row>
    <row r="214" ht="30.75" customHeight="1">
      <c r="A214" s="390"/>
      <c r="B214" s="390"/>
      <c r="C214" s="390"/>
      <c r="D214" s="390"/>
      <c r="E214" s="390"/>
      <c r="F214" s="390"/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  <c r="T214" s="390"/>
      <c r="U214" s="390"/>
      <c r="V214" s="390"/>
    </row>
    <row r="215" ht="30.75" customHeight="1">
      <c r="A215" s="390"/>
      <c r="B215" s="390"/>
      <c r="C215" s="390"/>
      <c r="D215" s="390"/>
      <c r="E215" s="390"/>
      <c r="F215" s="390"/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  <c r="T215" s="390"/>
      <c r="U215" s="390"/>
      <c r="V215" s="390"/>
    </row>
    <row r="216" ht="30.75" customHeight="1">
      <c r="A216" s="390"/>
      <c r="B216" s="390"/>
      <c r="C216" s="390"/>
      <c r="D216" s="390"/>
      <c r="E216" s="390"/>
      <c r="F216" s="390"/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  <c r="T216" s="390"/>
      <c r="U216" s="390"/>
      <c r="V216" s="390"/>
    </row>
    <row r="217" ht="30.75" customHeight="1">
      <c r="A217" s="390"/>
      <c r="B217" s="390"/>
      <c r="C217" s="390"/>
      <c r="D217" s="390"/>
      <c r="E217" s="390"/>
      <c r="F217" s="390"/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  <c r="T217" s="390"/>
      <c r="U217" s="390"/>
      <c r="V217" s="390"/>
    </row>
    <row r="218" ht="30.75" customHeight="1">
      <c r="A218" s="390"/>
      <c r="B218" s="390"/>
      <c r="C218" s="390"/>
      <c r="D218" s="390"/>
      <c r="E218" s="390"/>
      <c r="F218" s="390"/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  <c r="T218" s="390"/>
      <c r="U218" s="390"/>
      <c r="V218" s="390"/>
    </row>
    <row r="219" ht="30.75" customHeight="1">
      <c r="A219" s="390"/>
      <c r="B219" s="390"/>
      <c r="C219" s="390"/>
      <c r="D219" s="390"/>
      <c r="E219" s="390"/>
      <c r="F219" s="390"/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  <c r="T219" s="390"/>
      <c r="U219" s="390"/>
      <c r="V219" s="390"/>
    </row>
    <row r="220" ht="30.75" customHeight="1">
      <c r="A220" s="390"/>
      <c r="B220" s="390"/>
      <c r="C220" s="390"/>
      <c r="D220" s="390"/>
      <c r="E220" s="390"/>
      <c r="F220" s="390"/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  <c r="T220" s="390"/>
      <c r="U220" s="390"/>
      <c r="V220" s="390"/>
    </row>
    <row r="221" ht="30.75" customHeight="1">
      <c r="A221" s="390"/>
      <c r="B221" s="390"/>
      <c r="C221" s="390"/>
      <c r="D221" s="390"/>
      <c r="E221" s="390"/>
      <c r="F221" s="390"/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  <c r="T221" s="390"/>
      <c r="U221" s="390"/>
      <c r="V221" s="390"/>
    </row>
    <row r="222" ht="30.75" customHeight="1">
      <c r="A222" s="390"/>
      <c r="B222" s="390"/>
      <c r="C222" s="390"/>
      <c r="D222" s="390"/>
      <c r="E222" s="390"/>
      <c r="F222" s="390"/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  <c r="T222" s="390"/>
      <c r="U222" s="390"/>
      <c r="V222" s="390"/>
    </row>
    <row r="223" ht="30.75" customHeight="1">
      <c r="A223" s="390"/>
      <c r="B223" s="390"/>
      <c r="C223" s="390"/>
      <c r="D223" s="390"/>
      <c r="E223" s="390"/>
      <c r="F223" s="390"/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  <c r="T223" s="390"/>
      <c r="U223" s="390"/>
      <c r="V223" s="390"/>
    </row>
    <row r="224" ht="30.75" customHeight="1">
      <c r="A224" s="390"/>
      <c r="B224" s="390"/>
      <c r="C224" s="390"/>
      <c r="D224" s="390"/>
      <c r="E224" s="390"/>
      <c r="F224" s="390"/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  <c r="T224" s="390"/>
      <c r="U224" s="390"/>
      <c r="V224" s="390"/>
    </row>
    <row r="225" ht="30.75" customHeight="1">
      <c r="A225" s="390"/>
      <c r="B225" s="390"/>
      <c r="C225" s="390"/>
      <c r="D225" s="390"/>
      <c r="E225" s="390"/>
      <c r="F225" s="390"/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  <c r="T225" s="390"/>
      <c r="U225" s="390"/>
      <c r="V225" s="390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6.71"/>
    <col customWidth="1" min="3" max="3" width="11.57"/>
    <col customWidth="1" min="4" max="6" width="14.0"/>
    <col customWidth="1" min="7" max="7" width="12.29"/>
  </cols>
  <sheetData>
    <row r="1">
      <c r="A1" s="406" t="s">
        <v>340</v>
      </c>
      <c r="B1" s="407" t="s">
        <v>341</v>
      </c>
      <c r="C1" s="407" t="s">
        <v>342</v>
      </c>
      <c r="D1" s="407" t="s">
        <v>343</v>
      </c>
      <c r="E1" s="407" t="s">
        <v>344</v>
      </c>
      <c r="F1" s="407" t="s">
        <v>345</v>
      </c>
      <c r="G1" s="407" t="s">
        <v>346</v>
      </c>
      <c r="I1" s="408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</row>
    <row r="2">
      <c r="B2" s="410">
        <v>12.0</v>
      </c>
      <c r="C2" s="410">
        <v>0.0</v>
      </c>
      <c r="D2" s="410">
        <v>3.0</v>
      </c>
      <c r="E2" s="410">
        <v>4.0</v>
      </c>
      <c r="F2" s="410">
        <v>1.0</v>
      </c>
      <c r="G2" s="410">
        <v>0.0</v>
      </c>
      <c r="I2" s="408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409"/>
      <c r="W2" s="409"/>
      <c r="X2" s="409"/>
    </row>
    <row r="3">
      <c r="A3" s="408"/>
      <c r="I3" s="408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409"/>
      <c r="W3" s="409"/>
      <c r="X3" s="409"/>
    </row>
    <row r="4">
      <c r="A4" s="408"/>
      <c r="I4" s="408"/>
      <c r="J4" s="409"/>
      <c r="K4" s="409"/>
      <c r="L4" s="409"/>
      <c r="M4" s="409"/>
      <c r="N4" s="409"/>
      <c r="O4" s="409"/>
      <c r="P4" s="409"/>
      <c r="Q4" s="409"/>
      <c r="R4" s="409"/>
      <c r="S4" s="409"/>
      <c r="T4" s="409"/>
      <c r="U4" s="409"/>
      <c r="V4" s="409"/>
      <c r="W4" s="409"/>
      <c r="X4" s="409"/>
    </row>
    <row r="5">
      <c r="A5" s="411" t="s">
        <v>9</v>
      </c>
      <c r="B5" s="411" t="s">
        <v>347</v>
      </c>
      <c r="C5" s="412" t="s">
        <v>348</v>
      </c>
      <c r="G5" s="413" t="s">
        <v>349</v>
      </c>
      <c r="I5" s="408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09"/>
      <c r="X5" s="409"/>
    </row>
    <row r="6">
      <c r="C6" s="412" t="s">
        <v>24</v>
      </c>
      <c r="D6" s="412" t="s">
        <v>350</v>
      </c>
      <c r="E6" s="412" t="s">
        <v>351</v>
      </c>
      <c r="F6" s="412" t="s">
        <v>352</v>
      </c>
      <c r="I6" s="408"/>
      <c r="J6" s="409"/>
      <c r="K6" s="409"/>
      <c r="L6" s="409"/>
      <c r="M6" s="409"/>
      <c r="N6" s="409"/>
      <c r="O6" s="409"/>
      <c r="P6" s="409"/>
      <c r="Q6" s="409"/>
      <c r="R6" s="409"/>
      <c r="S6" s="409"/>
      <c r="T6" s="409"/>
      <c r="U6" s="409"/>
      <c r="V6" s="409"/>
      <c r="W6" s="409"/>
      <c r="X6" s="409"/>
    </row>
    <row r="7">
      <c r="A7" s="414" t="s">
        <v>70</v>
      </c>
      <c r="B7" s="415">
        <v>16.0</v>
      </c>
      <c r="C7" s="415">
        <f>B2-B7</f>
        <v>-4</v>
      </c>
      <c r="D7" s="415">
        <f>C2</f>
        <v>0</v>
      </c>
      <c r="E7" s="415">
        <f t="shared" ref="E7:F7" si="1">F2</f>
        <v>1</v>
      </c>
      <c r="F7" s="415">
        <f t="shared" si="1"/>
        <v>0</v>
      </c>
      <c r="G7" s="416">
        <f t="shared" ref="G7:G9" si="3">C7+D7+E7+F7</f>
        <v>-3</v>
      </c>
      <c r="I7" s="408"/>
      <c r="J7" s="409"/>
      <c r="K7" s="409"/>
      <c r="L7" s="409"/>
      <c r="M7" s="409"/>
      <c r="N7" s="409"/>
      <c r="O7" s="409"/>
      <c r="P7" s="409"/>
      <c r="Q7" s="409"/>
      <c r="R7" s="409"/>
      <c r="S7" s="409"/>
      <c r="T7" s="409"/>
      <c r="U7" s="409"/>
      <c r="V7" s="409"/>
      <c r="W7" s="409"/>
      <c r="X7" s="409"/>
    </row>
    <row r="8">
      <c r="A8" s="414" t="s">
        <v>71</v>
      </c>
      <c r="B8" s="415">
        <v>16.0</v>
      </c>
      <c r="C8" s="415">
        <f>B2-B8</f>
        <v>-4</v>
      </c>
      <c r="D8" s="415">
        <f>C2</f>
        <v>0</v>
      </c>
      <c r="E8" s="415">
        <f t="shared" ref="E8:F8" si="2">F2</f>
        <v>1</v>
      </c>
      <c r="F8" s="415">
        <f t="shared" si="2"/>
        <v>0</v>
      </c>
      <c r="G8" s="416">
        <f t="shared" si="3"/>
        <v>-3</v>
      </c>
      <c r="I8" s="409"/>
      <c r="J8" s="409"/>
      <c r="K8" s="409"/>
      <c r="L8" s="409"/>
      <c r="M8" s="409"/>
      <c r="N8" s="409"/>
      <c r="O8" s="409"/>
      <c r="P8" s="409"/>
      <c r="Q8" s="409"/>
      <c r="R8" s="409"/>
      <c r="S8" s="409"/>
      <c r="T8" s="409"/>
      <c r="U8" s="409"/>
      <c r="V8" s="409"/>
      <c r="W8" s="409"/>
      <c r="X8" s="409"/>
    </row>
    <row r="9">
      <c r="A9" s="414" t="s">
        <v>75</v>
      </c>
      <c r="B9" s="415">
        <v>12.0</v>
      </c>
      <c r="C9" s="415">
        <f>B2-B9</f>
        <v>0</v>
      </c>
      <c r="D9" s="415">
        <f>C2</f>
        <v>0</v>
      </c>
      <c r="E9" s="415">
        <f t="shared" ref="E9:F9" si="4">F2</f>
        <v>1</v>
      </c>
      <c r="F9" s="415">
        <f t="shared" si="4"/>
        <v>0</v>
      </c>
      <c r="G9" s="416">
        <f t="shared" si="3"/>
        <v>1</v>
      </c>
      <c r="I9" s="409"/>
      <c r="J9" s="409"/>
      <c r="K9" s="409"/>
      <c r="L9" s="409"/>
      <c r="M9" s="409"/>
      <c r="N9" s="409"/>
      <c r="O9" s="409"/>
      <c r="P9" s="409"/>
      <c r="Q9" s="409"/>
      <c r="R9" s="409"/>
      <c r="S9" s="409"/>
      <c r="T9" s="409"/>
      <c r="U9" s="409"/>
      <c r="V9" s="409"/>
      <c r="W9" s="409"/>
      <c r="X9" s="409"/>
    </row>
    <row r="10">
      <c r="A10" s="409"/>
      <c r="B10" s="409"/>
      <c r="C10" s="409"/>
      <c r="D10" s="409"/>
      <c r="E10" s="409"/>
      <c r="F10" s="409"/>
      <c r="G10" s="409"/>
      <c r="I10" s="409"/>
      <c r="J10" s="409"/>
      <c r="K10" s="409"/>
      <c r="L10" s="409"/>
      <c r="M10" s="409"/>
      <c r="N10" s="409"/>
      <c r="O10" s="409"/>
      <c r="P10" s="409"/>
      <c r="Q10" s="409"/>
      <c r="R10" s="409"/>
      <c r="S10" s="409"/>
      <c r="T10" s="409"/>
      <c r="U10" s="409"/>
      <c r="V10" s="409"/>
      <c r="W10" s="409"/>
      <c r="X10" s="409"/>
    </row>
    <row r="11">
      <c r="A11" s="414" t="s">
        <v>78</v>
      </c>
      <c r="B11" s="415">
        <v>10.0</v>
      </c>
      <c r="C11" s="415">
        <f>B2-B11</f>
        <v>2</v>
      </c>
      <c r="D11" s="415">
        <f>C2</f>
        <v>0</v>
      </c>
      <c r="E11" s="415">
        <f t="shared" ref="E11:F11" si="5">F2</f>
        <v>1</v>
      </c>
      <c r="F11" s="415">
        <f t="shared" si="5"/>
        <v>0</v>
      </c>
      <c r="G11" s="416">
        <f t="shared" ref="G11:G16" si="7">C11+D11+E11+F11</f>
        <v>3</v>
      </c>
      <c r="H11" s="415"/>
      <c r="I11" s="409"/>
      <c r="J11" s="409"/>
      <c r="K11" s="409"/>
      <c r="L11" s="409"/>
      <c r="M11" s="409"/>
      <c r="N11" s="409"/>
      <c r="O11" s="409"/>
      <c r="P11" s="409"/>
      <c r="Q11" s="409"/>
      <c r="R11" s="409"/>
      <c r="S11" s="409"/>
      <c r="T11" s="409"/>
      <c r="U11" s="409"/>
      <c r="V11" s="409"/>
      <c r="W11" s="409"/>
      <c r="X11" s="409"/>
    </row>
    <row r="12">
      <c r="A12" s="414" t="s">
        <v>79</v>
      </c>
      <c r="B12" s="415">
        <v>10.0</v>
      </c>
      <c r="C12" s="415">
        <f>B2-B12</f>
        <v>2</v>
      </c>
      <c r="D12" s="415">
        <f>D2</f>
        <v>3</v>
      </c>
      <c r="E12" s="415">
        <f t="shared" ref="E12:F12" si="6">F2</f>
        <v>1</v>
      </c>
      <c r="F12" s="415">
        <f t="shared" si="6"/>
        <v>0</v>
      </c>
      <c r="G12" s="416">
        <f t="shared" si="7"/>
        <v>6</v>
      </c>
      <c r="H12" s="408"/>
      <c r="I12" s="408"/>
      <c r="J12" s="409"/>
      <c r="K12" s="409"/>
      <c r="L12" s="409"/>
      <c r="M12" s="409"/>
      <c r="N12" s="409"/>
      <c r="O12" s="409"/>
      <c r="P12" s="409"/>
      <c r="Q12" s="409"/>
      <c r="R12" s="409"/>
      <c r="S12" s="409"/>
      <c r="T12" s="409"/>
      <c r="U12" s="409"/>
      <c r="V12" s="409"/>
      <c r="W12" s="409"/>
      <c r="X12" s="409"/>
    </row>
    <row r="13">
      <c r="A13" s="414" t="s">
        <v>353</v>
      </c>
      <c r="B13" s="415">
        <v>10.0</v>
      </c>
      <c r="C13" s="415">
        <f>B2-B13</f>
        <v>2</v>
      </c>
      <c r="D13" s="415">
        <f t="shared" ref="D13:F13" si="8">E2</f>
        <v>4</v>
      </c>
      <c r="E13" s="415">
        <f t="shared" si="8"/>
        <v>1</v>
      </c>
      <c r="F13" s="415">
        <f t="shared" si="8"/>
        <v>0</v>
      </c>
      <c r="G13" s="416">
        <f t="shared" si="7"/>
        <v>7</v>
      </c>
      <c r="I13" s="408"/>
      <c r="J13" s="409"/>
      <c r="K13" s="409"/>
      <c r="L13" s="409"/>
      <c r="M13" s="409"/>
      <c r="N13" s="409"/>
      <c r="O13" s="409"/>
      <c r="P13" s="409"/>
      <c r="Q13" s="409"/>
      <c r="R13" s="409"/>
      <c r="S13" s="409"/>
      <c r="T13" s="409"/>
      <c r="U13" s="409"/>
      <c r="V13" s="409"/>
      <c r="W13" s="409"/>
      <c r="X13" s="409"/>
    </row>
    <row r="14">
      <c r="A14" s="414" t="s">
        <v>354</v>
      </c>
      <c r="B14" s="415">
        <v>10.0</v>
      </c>
      <c r="C14" s="415">
        <f>B2-B14</f>
        <v>2</v>
      </c>
      <c r="D14" s="415">
        <f>D2</f>
        <v>3</v>
      </c>
      <c r="E14" s="415">
        <f t="shared" ref="E14:F14" si="9">F2</f>
        <v>1</v>
      </c>
      <c r="F14" s="415">
        <f t="shared" si="9"/>
        <v>0</v>
      </c>
      <c r="G14" s="416">
        <f t="shared" si="7"/>
        <v>6</v>
      </c>
      <c r="I14" s="408"/>
      <c r="J14" s="409"/>
      <c r="K14" s="409"/>
      <c r="L14" s="409"/>
      <c r="M14" s="409"/>
      <c r="N14" s="409"/>
      <c r="O14" s="409"/>
      <c r="P14" s="409"/>
      <c r="Q14" s="409"/>
      <c r="R14" s="409"/>
      <c r="S14" s="409"/>
      <c r="T14" s="409"/>
      <c r="U14" s="409"/>
      <c r="V14" s="409"/>
      <c r="W14" s="409"/>
      <c r="X14" s="409"/>
    </row>
    <row r="15">
      <c r="A15" s="414" t="s">
        <v>355</v>
      </c>
      <c r="B15" s="415">
        <v>8.0</v>
      </c>
      <c r="C15" s="415">
        <f>B2-B15</f>
        <v>4</v>
      </c>
      <c r="D15" s="415">
        <f>D2</f>
        <v>3</v>
      </c>
      <c r="E15" s="415">
        <f t="shared" ref="E15:F15" si="10">F2</f>
        <v>1</v>
      </c>
      <c r="F15" s="415">
        <f t="shared" si="10"/>
        <v>0</v>
      </c>
      <c r="G15" s="416">
        <f t="shared" si="7"/>
        <v>8</v>
      </c>
      <c r="I15" s="408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09"/>
      <c r="V15" s="409"/>
      <c r="W15" s="409"/>
      <c r="X15" s="409"/>
    </row>
    <row r="16">
      <c r="A16" s="414" t="s">
        <v>356</v>
      </c>
      <c r="B16" s="415">
        <v>8.0</v>
      </c>
      <c r="C16" s="415">
        <f>B2-B16</f>
        <v>4</v>
      </c>
      <c r="D16" s="415">
        <f>D2</f>
        <v>3</v>
      </c>
      <c r="E16" s="415">
        <f t="shared" ref="E16:F16" si="11">F2</f>
        <v>1</v>
      </c>
      <c r="F16" s="415">
        <f t="shared" si="11"/>
        <v>0</v>
      </c>
      <c r="G16" s="416">
        <f t="shared" si="7"/>
        <v>8</v>
      </c>
      <c r="I16" s="408"/>
      <c r="J16" s="409"/>
      <c r="K16" s="409"/>
      <c r="L16" s="409"/>
      <c r="M16" s="409"/>
      <c r="N16" s="409"/>
      <c r="O16" s="409"/>
      <c r="P16" s="409"/>
      <c r="Q16" s="409"/>
      <c r="R16" s="409"/>
      <c r="S16" s="409"/>
      <c r="T16" s="409"/>
      <c r="U16" s="409"/>
      <c r="V16" s="409"/>
      <c r="W16" s="409"/>
      <c r="X16" s="409"/>
    </row>
    <row r="17">
      <c r="I17" s="408"/>
      <c r="J17" s="409"/>
      <c r="K17" s="409"/>
      <c r="L17" s="409"/>
      <c r="M17" s="409"/>
      <c r="N17" s="409"/>
      <c r="O17" s="409"/>
      <c r="P17" s="409"/>
      <c r="Q17" s="409"/>
      <c r="R17" s="409"/>
      <c r="S17" s="409"/>
      <c r="T17" s="409"/>
      <c r="U17" s="409"/>
      <c r="V17" s="409"/>
      <c r="W17" s="409"/>
      <c r="X17" s="409"/>
    </row>
    <row r="18">
      <c r="A18" s="414" t="s">
        <v>357</v>
      </c>
      <c r="B18" s="415">
        <v>10.0</v>
      </c>
      <c r="C18" s="415">
        <f>B2-B18</f>
        <v>2</v>
      </c>
      <c r="D18" s="415">
        <f>D2</f>
        <v>3</v>
      </c>
      <c r="E18" s="415">
        <f t="shared" ref="E18:F18" si="12">F2</f>
        <v>1</v>
      </c>
      <c r="F18" s="415">
        <f t="shared" si="12"/>
        <v>0</v>
      </c>
      <c r="G18" s="416">
        <f t="shared" ref="G18:G20" si="13">C18+D18+E18+F18</f>
        <v>6</v>
      </c>
      <c r="I18" s="408"/>
      <c r="J18" s="409"/>
      <c r="K18" s="409"/>
      <c r="L18" s="409"/>
      <c r="M18" s="409"/>
      <c r="N18" s="409"/>
      <c r="O18" s="409"/>
      <c r="P18" s="409"/>
      <c r="Q18" s="409"/>
      <c r="R18" s="409"/>
      <c r="S18" s="409"/>
      <c r="T18" s="409"/>
      <c r="U18" s="409"/>
      <c r="V18" s="409"/>
      <c r="W18" s="409"/>
      <c r="X18" s="409"/>
    </row>
    <row r="19">
      <c r="A19" s="414" t="s">
        <v>358</v>
      </c>
      <c r="B19" s="415">
        <v>8.0</v>
      </c>
      <c r="C19" s="415">
        <f>B2-B19</f>
        <v>4</v>
      </c>
      <c r="D19" s="415">
        <f>E2</f>
        <v>4</v>
      </c>
      <c r="E19" s="415">
        <f>F9</f>
        <v>0</v>
      </c>
      <c r="F19" s="415">
        <f>G2</f>
        <v>0</v>
      </c>
      <c r="G19" s="416">
        <f t="shared" si="13"/>
        <v>8</v>
      </c>
      <c r="I19" s="408"/>
      <c r="J19" s="409"/>
      <c r="K19" s="409"/>
      <c r="L19" s="409"/>
      <c r="M19" s="409"/>
      <c r="N19" s="409"/>
      <c r="O19" s="409"/>
      <c r="P19" s="409"/>
      <c r="Q19" s="409"/>
      <c r="R19" s="409"/>
      <c r="S19" s="409"/>
      <c r="T19" s="409"/>
      <c r="U19" s="409"/>
      <c r="V19" s="409"/>
      <c r="W19" s="409"/>
      <c r="X19" s="409"/>
    </row>
    <row r="20">
      <c r="A20" s="414" t="s">
        <v>359</v>
      </c>
      <c r="B20" s="415">
        <v>10.0</v>
      </c>
      <c r="C20" s="415">
        <f>B2-B20</f>
        <v>2</v>
      </c>
      <c r="D20" s="415">
        <f>D2</f>
        <v>3</v>
      </c>
      <c r="E20" s="415">
        <f t="shared" ref="E20:F20" si="14">F2</f>
        <v>1</v>
      </c>
      <c r="F20" s="415">
        <f t="shared" si="14"/>
        <v>0</v>
      </c>
      <c r="G20" s="416">
        <f t="shared" si="13"/>
        <v>6</v>
      </c>
      <c r="I20" s="408"/>
      <c r="J20" s="409"/>
      <c r="K20" s="409"/>
      <c r="L20" s="409"/>
      <c r="M20" s="409"/>
      <c r="N20" s="409"/>
      <c r="O20" s="409"/>
      <c r="P20" s="409"/>
      <c r="Q20" s="409"/>
      <c r="R20" s="409"/>
      <c r="S20" s="409"/>
      <c r="T20" s="409"/>
      <c r="U20" s="409"/>
      <c r="V20" s="409"/>
      <c r="W20" s="409"/>
      <c r="X20" s="409"/>
    </row>
    <row r="21" ht="15.75" customHeight="1">
      <c r="A21" s="409"/>
      <c r="B21" s="409"/>
      <c r="C21" s="409"/>
      <c r="D21" s="409"/>
      <c r="E21" s="409"/>
      <c r="F21" s="409"/>
      <c r="G21" s="409"/>
      <c r="H21" s="409"/>
      <c r="I21" s="408"/>
      <c r="J21" s="409"/>
      <c r="K21" s="409"/>
      <c r="L21" s="409"/>
      <c r="M21" s="409"/>
      <c r="N21" s="409"/>
      <c r="O21" s="409"/>
      <c r="P21" s="409"/>
      <c r="Q21" s="409"/>
      <c r="R21" s="409"/>
      <c r="S21" s="409"/>
      <c r="T21" s="409"/>
      <c r="U21" s="409"/>
      <c r="V21" s="409"/>
      <c r="W21" s="409"/>
      <c r="X21" s="409"/>
    </row>
    <row r="22" ht="15.75" customHeight="1">
      <c r="A22" s="414" t="s">
        <v>360</v>
      </c>
      <c r="B22" s="415">
        <v>12.0</v>
      </c>
      <c r="C22" s="415">
        <f>B2-B22</f>
        <v>0</v>
      </c>
      <c r="D22" s="415">
        <f>E2</f>
        <v>4</v>
      </c>
      <c r="E22" s="415">
        <v>0.0</v>
      </c>
      <c r="F22" s="415">
        <v>0.0</v>
      </c>
      <c r="G22" s="416">
        <f t="shared" ref="G22:G24" si="15">C22+D22+E22+F22</f>
        <v>4</v>
      </c>
      <c r="H22" s="409"/>
      <c r="I22" s="408"/>
      <c r="J22" s="409"/>
      <c r="K22" s="409"/>
      <c r="L22" s="409"/>
      <c r="M22" s="409"/>
      <c r="N22" s="409"/>
      <c r="O22" s="409"/>
      <c r="P22" s="409"/>
      <c r="Q22" s="409"/>
      <c r="R22" s="409"/>
      <c r="S22" s="409"/>
      <c r="T22" s="409"/>
      <c r="U22" s="409"/>
      <c r="V22" s="409"/>
      <c r="W22" s="409"/>
      <c r="X22" s="409"/>
    </row>
    <row r="23" ht="15.75" customHeight="1">
      <c r="A23" s="414" t="s">
        <v>361</v>
      </c>
      <c r="B23" s="415">
        <v>10.0</v>
      </c>
      <c r="C23" s="415">
        <f>B2-B23</f>
        <v>2</v>
      </c>
      <c r="D23" s="415">
        <f>E2</f>
        <v>4</v>
      </c>
      <c r="E23" s="415">
        <v>0.0</v>
      </c>
      <c r="F23" s="415">
        <f>G2</f>
        <v>0</v>
      </c>
      <c r="G23" s="416">
        <f t="shared" si="15"/>
        <v>6</v>
      </c>
      <c r="H23" s="409"/>
      <c r="I23" s="408"/>
      <c r="J23" s="409"/>
      <c r="K23" s="409"/>
      <c r="L23" s="409"/>
      <c r="M23" s="409"/>
      <c r="N23" s="409"/>
      <c r="O23" s="409"/>
      <c r="P23" s="409"/>
      <c r="Q23" s="409"/>
      <c r="R23" s="409"/>
      <c r="S23" s="409"/>
      <c r="T23" s="409"/>
      <c r="U23" s="409"/>
      <c r="V23" s="409"/>
      <c r="W23" s="409"/>
      <c r="X23" s="409"/>
    </row>
    <row r="24" ht="15.75" customHeight="1">
      <c r="A24" s="414" t="s">
        <v>362</v>
      </c>
      <c r="B24" s="415">
        <v>10.0</v>
      </c>
      <c r="C24" s="415">
        <f>B2-B24</f>
        <v>2</v>
      </c>
      <c r="D24" s="415">
        <f>D2</f>
        <v>3</v>
      </c>
      <c r="E24" s="415">
        <f t="shared" ref="E24:F24" si="16">F2</f>
        <v>1</v>
      </c>
      <c r="F24" s="415">
        <f t="shared" si="16"/>
        <v>0</v>
      </c>
      <c r="G24" s="416">
        <f t="shared" si="15"/>
        <v>6</v>
      </c>
      <c r="H24" s="409"/>
      <c r="I24" s="408"/>
      <c r="J24" s="409"/>
      <c r="K24" s="409"/>
      <c r="L24" s="409"/>
      <c r="M24" s="409"/>
      <c r="N24" s="409"/>
      <c r="O24" s="409"/>
      <c r="P24" s="409"/>
      <c r="Q24" s="409"/>
      <c r="R24" s="409"/>
      <c r="S24" s="409"/>
      <c r="T24" s="409"/>
      <c r="U24" s="409"/>
      <c r="V24" s="409"/>
      <c r="W24" s="409"/>
      <c r="X24" s="409"/>
    </row>
    <row r="25" ht="15.75" customHeight="1">
      <c r="A25" s="409"/>
      <c r="B25" s="409"/>
      <c r="C25" s="409"/>
      <c r="D25" s="409"/>
      <c r="E25" s="409"/>
      <c r="F25" s="409"/>
      <c r="G25" s="409"/>
      <c r="H25" s="409"/>
      <c r="I25" s="409"/>
      <c r="J25" s="409"/>
      <c r="K25" s="409"/>
      <c r="L25" s="409"/>
      <c r="M25" s="409"/>
      <c r="N25" s="409"/>
      <c r="O25" s="409"/>
      <c r="P25" s="409"/>
      <c r="Q25" s="409"/>
      <c r="R25" s="409"/>
      <c r="S25" s="409"/>
      <c r="T25" s="409"/>
      <c r="U25" s="409"/>
      <c r="V25" s="409"/>
      <c r="W25" s="409"/>
      <c r="X25" s="409"/>
    </row>
    <row r="26" ht="15.75" customHeight="1">
      <c r="A26" s="409"/>
      <c r="B26" s="409"/>
      <c r="C26" s="409"/>
      <c r="D26" s="409"/>
      <c r="E26" s="409"/>
      <c r="F26" s="409"/>
      <c r="G26" s="409"/>
      <c r="H26" s="409"/>
      <c r="I26" s="409"/>
      <c r="J26" s="409"/>
      <c r="K26" s="409"/>
      <c r="L26" s="409"/>
      <c r="M26" s="409"/>
      <c r="N26" s="409"/>
      <c r="O26" s="409"/>
      <c r="P26" s="409"/>
      <c r="Q26" s="409"/>
      <c r="R26" s="409"/>
      <c r="S26" s="409"/>
      <c r="T26" s="409"/>
      <c r="U26" s="409"/>
      <c r="V26" s="409"/>
      <c r="W26" s="409"/>
      <c r="X26" s="409"/>
    </row>
    <row r="27" ht="15.75" customHeight="1">
      <c r="A27" s="409"/>
      <c r="B27" s="409"/>
      <c r="C27" s="409"/>
      <c r="D27" s="409"/>
      <c r="E27" s="409"/>
      <c r="F27" s="409"/>
      <c r="G27" s="409"/>
      <c r="H27" s="409"/>
      <c r="I27" s="409"/>
      <c r="J27" s="409"/>
      <c r="K27" s="409"/>
      <c r="L27" s="409"/>
      <c r="M27" s="409"/>
      <c r="N27" s="409"/>
      <c r="O27" s="409"/>
      <c r="P27" s="409"/>
      <c r="Q27" s="409"/>
      <c r="R27" s="409"/>
      <c r="S27" s="409"/>
      <c r="T27" s="409"/>
      <c r="U27" s="409"/>
      <c r="V27" s="409"/>
      <c r="W27" s="409"/>
      <c r="X27" s="409"/>
    </row>
    <row r="28" ht="15.75" customHeight="1">
      <c r="A28" s="409"/>
      <c r="B28" s="409"/>
      <c r="C28" s="409"/>
      <c r="D28" s="409"/>
      <c r="E28" s="409"/>
      <c r="F28" s="409"/>
      <c r="G28" s="409"/>
      <c r="H28" s="409"/>
      <c r="I28" s="409"/>
      <c r="J28" s="409"/>
      <c r="K28" s="409"/>
      <c r="L28" s="409"/>
      <c r="M28" s="409"/>
      <c r="N28" s="409"/>
      <c r="O28" s="409"/>
      <c r="P28" s="409"/>
      <c r="Q28" s="409"/>
      <c r="R28" s="409"/>
      <c r="S28" s="409"/>
      <c r="T28" s="409"/>
      <c r="U28" s="409"/>
      <c r="V28" s="409"/>
      <c r="W28" s="409"/>
      <c r="X28" s="409"/>
    </row>
    <row r="29" ht="15.75" customHeight="1">
      <c r="A29" s="409"/>
      <c r="B29" s="409"/>
      <c r="C29" s="409"/>
      <c r="D29" s="409"/>
      <c r="E29" s="409"/>
      <c r="F29" s="409"/>
      <c r="G29" s="409"/>
      <c r="H29" s="409"/>
      <c r="I29" s="409"/>
      <c r="J29" s="409"/>
      <c r="K29" s="409"/>
      <c r="L29" s="409"/>
      <c r="M29" s="409"/>
      <c r="N29" s="409"/>
      <c r="O29" s="409"/>
      <c r="P29" s="409"/>
      <c r="Q29" s="409"/>
      <c r="R29" s="409"/>
      <c r="S29" s="409"/>
      <c r="T29" s="409"/>
      <c r="U29" s="409"/>
      <c r="V29" s="409"/>
      <c r="W29" s="409"/>
      <c r="X29" s="409"/>
    </row>
    <row r="30" ht="15.75" customHeight="1">
      <c r="A30" s="409"/>
      <c r="B30" s="409"/>
      <c r="C30" s="409"/>
      <c r="D30" s="409"/>
      <c r="E30" s="409"/>
      <c r="F30" s="409"/>
      <c r="G30" s="409"/>
      <c r="H30" s="409"/>
      <c r="I30" s="409"/>
      <c r="J30" s="409"/>
      <c r="K30" s="409"/>
      <c r="L30" s="409"/>
      <c r="M30" s="409"/>
      <c r="N30" s="409"/>
      <c r="O30" s="409"/>
      <c r="P30" s="409"/>
      <c r="Q30" s="409"/>
      <c r="R30" s="409"/>
      <c r="S30" s="409"/>
      <c r="T30" s="409"/>
      <c r="U30" s="409"/>
      <c r="V30" s="409"/>
      <c r="W30" s="409"/>
      <c r="X30" s="409"/>
    </row>
    <row r="31" ht="15.75" customHeight="1">
      <c r="A31" s="409"/>
      <c r="B31" s="409"/>
      <c r="C31" s="409"/>
      <c r="D31" s="409"/>
      <c r="E31" s="409"/>
      <c r="F31" s="409"/>
      <c r="G31" s="409"/>
      <c r="H31" s="409"/>
      <c r="I31" s="409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409"/>
      <c r="V31" s="409"/>
      <c r="W31" s="409"/>
      <c r="X31" s="409"/>
    </row>
    <row r="32" ht="15.75" customHeight="1">
      <c r="A32" s="409"/>
      <c r="B32" s="409"/>
      <c r="C32" s="409"/>
      <c r="D32" s="409"/>
      <c r="E32" s="409"/>
      <c r="F32" s="409"/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  <c r="X32" s="409"/>
    </row>
    <row r="33" ht="15.75" customHeight="1">
      <c r="A33" s="409"/>
      <c r="B33" s="409"/>
      <c r="C33" s="409"/>
      <c r="D33" s="409"/>
      <c r="E33" s="409"/>
      <c r="F33" s="409"/>
      <c r="G33" s="409"/>
      <c r="H33" s="409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09"/>
      <c r="X33" s="409"/>
    </row>
    <row r="34" ht="15.75" customHeight="1">
      <c r="A34" s="409"/>
      <c r="B34" s="409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</row>
    <row r="35" ht="15.75" customHeight="1">
      <c r="A35" s="409"/>
      <c r="B35" s="409"/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  <c r="X35" s="409"/>
    </row>
    <row r="36" ht="15.75" customHeight="1">
      <c r="A36" s="409"/>
      <c r="B36" s="409"/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09"/>
      <c r="P36" s="409"/>
      <c r="Q36" s="409"/>
      <c r="R36" s="409"/>
      <c r="S36" s="409"/>
      <c r="T36" s="409"/>
      <c r="U36" s="409"/>
      <c r="V36" s="409"/>
      <c r="W36" s="409"/>
      <c r="X36" s="409"/>
    </row>
    <row r="37" ht="15.75" customHeight="1">
      <c r="A37" s="409"/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09"/>
      <c r="N37" s="409"/>
      <c r="O37" s="409"/>
      <c r="P37" s="409"/>
      <c r="Q37" s="409"/>
      <c r="R37" s="409"/>
      <c r="S37" s="409"/>
      <c r="T37" s="409"/>
      <c r="U37" s="409"/>
      <c r="V37" s="409"/>
      <c r="W37" s="409"/>
      <c r="X37" s="409"/>
    </row>
    <row r="38" ht="15.75" customHeight="1">
      <c r="A38" s="409"/>
      <c r="B38" s="409"/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409"/>
      <c r="V38" s="409"/>
      <c r="W38" s="409"/>
      <c r="X38" s="409"/>
    </row>
    <row r="39" ht="15.75" customHeight="1">
      <c r="A39" s="409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09"/>
      <c r="M39" s="409"/>
      <c r="N39" s="409"/>
      <c r="O39" s="409"/>
      <c r="P39" s="409"/>
      <c r="Q39" s="409"/>
      <c r="R39" s="409"/>
      <c r="S39" s="409"/>
      <c r="T39" s="409"/>
      <c r="U39" s="409"/>
      <c r="V39" s="409"/>
      <c r="W39" s="409"/>
      <c r="X39" s="409"/>
    </row>
    <row r="40" ht="15.75" customHeight="1">
      <c r="A40" s="409"/>
      <c r="B40" s="409"/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/>
      <c r="N40" s="409"/>
      <c r="O40" s="409"/>
      <c r="P40" s="409"/>
      <c r="Q40" s="409"/>
      <c r="R40" s="409"/>
      <c r="S40" s="409"/>
      <c r="T40" s="409"/>
      <c r="U40" s="409"/>
      <c r="V40" s="409"/>
      <c r="W40" s="409"/>
      <c r="X40" s="409"/>
    </row>
    <row r="41" ht="15.75" customHeight="1">
      <c r="A41" s="409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09"/>
      <c r="R41" s="409"/>
      <c r="S41" s="409"/>
      <c r="T41" s="409"/>
      <c r="U41" s="409"/>
      <c r="V41" s="409"/>
      <c r="W41" s="409"/>
      <c r="X41" s="409"/>
    </row>
    <row r="42" ht="15.75" customHeight="1">
      <c r="A42" s="409"/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</row>
    <row r="43" ht="15.75" customHeight="1">
      <c r="A43" s="409"/>
      <c r="B43" s="409"/>
      <c r="C43" s="409"/>
      <c r="D43" s="409"/>
      <c r="E43" s="409"/>
      <c r="F43" s="409"/>
      <c r="G43" s="409"/>
      <c r="H43" s="409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</row>
    <row r="44" ht="15.75" customHeight="1">
      <c r="A44" s="409"/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  <c r="X44" s="409"/>
    </row>
    <row r="45" ht="15.75" customHeight="1">
      <c r="A45" s="409"/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9"/>
    </row>
    <row r="46" ht="15.75" customHeight="1">
      <c r="A46" s="409"/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</row>
    <row r="47" ht="15.75" customHeight="1">
      <c r="A47" s="409"/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</row>
    <row r="48" ht="15.75" customHeight="1">
      <c r="A48" s="409"/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</row>
    <row r="49" ht="15.75" customHeight="1">
      <c r="A49" s="409"/>
      <c r="B49" s="409"/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  <c r="V49" s="409"/>
      <c r="W49" s="409"/>
      <c r="X49" s="409"/>
    </row>
    <row r="50" ht="15.75" customHeight="1">
      <c r="A50" s="409"/>
      <c r="B50" s="409"/>
      <c r="C50" s="409"/>
      <c r="D50" s="409"/>
      <c r="E50" s="409"/>
      <c r="F50" s="409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  <c r="T50" s="409"/>
      <c r="U50" s="409"/>
      <c r="V50" s="409"/>
      <c r="W50" s="409"/>
      <c r="X50" s="409"/>
    </row>
    <row r="51" ht="15.75" customHeight="1">
      <c r="A51" s="409"/>
      <c r="B51" s="409"/>
      <c r="C51" s="409"/>
      <c r="D51" s="409"/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09"/>
      <c r="X51" s="409"/>
    </row>
    <row r="52" ht="15.75" customHeight="1">
      <c r="A52" s="409"/>
      <c r="B52" s="409"/>
      <c r="C52" s="409"/>
      <c r="D52" s="409"/>
      <c r="E52" s="409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09"/>
      <c r="X52" s="409"/>
    </row>
    <row r="53" ht="15.75" customHeight="1">
      <c r="A53" s="409"/>
      <c r="B53" s="409"/>
      <c r="C53" s="409"/>
      <c r="D53" s="409"/>
      <c r="E53" s="409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  <c r="X53" s="409"/>
    </row>
    <row r="54" ht="15.75" customHeight="1">
      <c r="A54" s="409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09"/>
      <c r="W54" s="409"/>
      <c r="X54" s="409"/>
    </row>
    <row r="55" ht="15.75" customHeight="1">
      <c r="A55" s="409"/>
      <c r="B55" s="409"/>
      <c r="C55" s="409"/>
      <c r="D55" s="409"/>
      <c r="E55" s="409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09"/>
      <c r="X55" s="409"/>
    </row>
    <row r="56" ht="15.75" customHeight="1">
      <c r="A56" s="409"/>
      <c r="B56" s="409"/>
      <c r="C56" s="409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</row>
    <row r="57" ht="15.75" customHeight="1">
      <c r="A57" s="409"/>
      <c r="B57" s="409"/>
      <c r="C57" s="409"/>
      <c r="D57" s="409"/>
      <c r="E57" s="409"/>
      <c r="F57" s="409"/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</row>
    <row r="58" ht="15.75" customHeight="1">
      <c r="A58" s="409"/>
      <c r="B58" s="409"/>
      <c r="C58" s="409"/>
      <c r="D58" s="409"/>
      <c r="E58" s="409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</row>
    <row r="59" ht="15.75" customHeight="1">
      <c r="A59" s="409"/>
      <c r="B59" s="409"/>
      <c r="C59" s="409"/>
      <c r="D59" s="409"/>
      <c r="E59" s="409"/>
      <c r="F59" s="409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  <c r="T59" s="409"/>
      <c r="U59" s="409"/>
      <c r="V59" s="409"/>
      <c r="W59" s="409"/>
      <c r="X59" s="409"/>
    </row>
    <row r="60" ht="15.75" customHeight="1">
      <c r="A60" s="409"/>
      <c r="B60" s="409"/>
      <c r="C60" s="409"/>
      <c r="D60" s="409"/>
      <c r="E60" s="409"/>
      <c r="F60" s="409"/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  <c r="T60" s="409"/>
      <c r="U60" s="409"/>
      <c r="V60" s="409"/>
      <c r="W60" s="409"/>
      <c r="X60" s="409"/>
    </row>
    <row r="61" ht="15.75" customHeight="1">
      <c r="A61" s="409"/>
      <c r="B61" s="409"/>
      <c r="C61" s="409"/>
      <c r="D61" s="409"/>
      <c r="E61" s="409"/>
      <c r="F61" s="409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  <c r="T61" s="409"/>
      <c r="U61" s="409"/>
      <c r="V61" s="409"/>
      <c r="W61" s="409"/>
      <c r="X61" s="409"/>
    </row>
    <row r="62" ht="15.75" customHeight="1">
      <c r="A62" s="409"/>
      <c r="B62" s="409"/>
      <c r="C62" s="409"/>
      <c r="D62" s="409"/>
      <c r="E62" s="409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409"/>
      <c r="W62" s="409"/>
      <c r="X62" s="409"/>
    </row>
    <row r="63" ht="15.75" customHeight="1">
      <c r="A63" s="409"/>
      <c r="B63" s="409"/>
      <c r="C63" s="409"/>
      <c r="D63" s="409"/>
      <c r="E63" s="409"/>
      <c r="F63" s="409"/>
      <c r="G63" s="409"/>
      <c r="H63" s="409"/>
      <c r="I63" s="409"/>
      <c r="J63" s="409"/>
      <c r="K63" s="409"/>
      <c r="L63" s="409"/>
      <c r="M63" s="409"/>
      <c r="N63" s="409"/>
      <c r="O63" s="409"/>
      <c r="P63" s="409"/>
      <c r="Q63" s="409"/>
      <c r="R63" s="409"/>
      <c r="S63" s="409"/>
      <c r="T63" s="409"/>
      <c r="U63" s="409"/>
      <c r="V63" s="409"/>
      <c r="W63" s="409"/>
      <c r="X63" s="409"/>
    </row>
    <row r="64" ht="15.75" customHeight="1">
      <c r="A64" s="409"/>
      <c r="B64" s="409"/>
      <c r="C64" s="409"/>
      <c r="D64" s="409"/>
      <c r="E64" s="409"/>
      <c r="F64" s="409"/>
      <c r="G64" s="409"/>
      <c r="H64" s="409"/>
      <c r="I64" s="409"/>
      <c r="J64" s="409"/>
      <c r="K64" s="409"/>
      <c r="L64" s="409"/>
      <c r="M64" s="409"/>
      <c r="N64" s="409"/>
      <c r="O64" s="409"/>
      <c r="P64" s="409"/>
      <c r="Q64" s="409"/>
      <c r="R64" s="409"/>
      <c r="S64" s="409"/>
      <c r="T64" s="409"/>
      <c r="U64" s="409"/>
      <c r="V64" s="409"/>
      <c r="W64" s="409"/>
      <c r="X64" s="409"/>
    </row>
    <row r="65" ht="15.75" customHeight="1">
      <c r="A65" s="409"/>
      <c r="B65" s="409"/>
      <c r="C65" s="409"/>
      <c r="D65" s="409"/>
      <c r="E65" s="409"/>
      <c r="F65" s="409"/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09"/>
      <c r="R65" s="409"/>
      <c r="S65" s="409"/>
      <c r="T65" s="409"/>
      <c r="U65" s="409"/>
      <c r="V65" s="409"/>
      <c r="W65" s="409"/>
      <c r="X65" s="409"/>
    </row>
    <row r="66" ht="15.75" customHeight="1">
      <c r="A66" s="409"/>
      <c r="B66" s="409"/>
      <c r="C66" s="409"/>
      <c r="D66" s="409"/>
      <c r="E66" s="409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/>
      <c r="V66" s="409"/>
      <c r="W66" s="409"/>
      <c r="X66" s="409"/>
    </row>
    <row r="67" ht="15.75" customHeight="1">
      <c r="A67" s="409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09"/>
      <c r="X67" s="409"/>
    </row>
    <row r="68" ht="15.75" customHeight="1">
      <c r="A68" s="409"/>
      <c r="B68" s="409"/>
      <c r="C68" s="409"/>
      <c r="D68" s="409"/>
      <c r="E68" s="409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09"/>
      <c r="X68" s="409"/>
    </row>
    <row r="69" ht="15.75" customHeight="1">
      <c r="A69" s="409"/>
      <c r="B69" s="409"/>
      <c r="C69" s="409"/>
      <c r="D69" s="409"/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09"/>
      <c r="X69" s="409"/>
    </row>
    <row r="70" ht="15.75" customHeight="1">
      <c r="A70" s="409"/>
      <c r="B70" s="409"/>
      <c r="C70" s="409"/>
      <c r="D70" s="409"/>
      <c r="E70" s="409"/>
      <c r="F70" s="409"/>
      <c r="G70" s="409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  <c r="X70" s="409"/>
    </row>
    <row r="71" ht="15.75" customHeight="1">
      <c r="A71" s="409"/>
      <c r="B71" s="409"/>
      <c r="C71" s="409"/>
      <c r="D71" s="409"/>
      <c r="E71" s="409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09"/>
      <c r="Q71" s="409"/>
      <c r="R71" s="409"/>
      <c r="S71" s="409"/>
      <c r="T71" s="409"/>
      <c r="U71" s="409"/>
      <c r="V71" s="409"/>
      <c r="W71" s="409"/>
      <c r="X71" s="409"/>
    </row>
    <row r="72" ht="15.75" customHeight="1">
      <c r="A72" s="409"/>
      <c r="B72" s="409"/>
      <c r="C72" s="409"/>
      <c r="D72" s="409"/>
      <c r="E72" s="409"/>
      <c r="F72" s="409"/>
      <c r="G72" s="409"/>
      <c r="H72" s="409"/>
      <c r="I72" s="409"/>
      <c r="J72" s="409"/>
      <c r="K72" s="409"/>
      <c r="L72" s="409"/>
      <c r="M72" s="409"/>
      <c r="N72" s="409"/>
      <c r="O72" s="409"/>
      <c r="P72" s="409"/>
      <c r="Q72" s="409"/>
      <c r="R72" s="409"/>
      <c r="S72" s="409"/>
      <c r="T72" s="409"/>
      <c r="U72" s="409"/>
      <c r="V72" s="409"/>
      <c r="W72" s="409"/>
      <c r="X72" s="409"/>
    </row>
    <row r="73" ht="15.75" customHeight="1">
      <c r="A73" s="409"/>
      <c r="B73" s="409"/>
      <c r="C73" s="409"/>
      <c r="D73" s="409"/>
      <c r="E73" s="409"/>
      <c r="F73" s="409"/>
      <c r="G73" s="409"/>
      <c r="H73" s="409"/>
      <c r="I73" s="409"/>
      <c r="J73" s="409"/>
      <c r="K73" s="409"/>
      <c r="L73" s="409"/>
      <c r="M73" s="409"/>
      <c r="N73" s="409"/>
      <c r="O73" s="409"/>
      <c r="P73" s="409"/>
      <c r="Q73" s="409"/>
      <c r="R73" s="409"/>
      <c r="S73" s="409"/>
      <c r="T73" s="409"/>
      <c r="U73" s="409"/>
      <c r="V73" s="409"/>
      <c r="W73" s="409"/>
      <c r="X73" s="409"/>
    </row>
    <row r="74" ht="15.75" customHeight="1">
      <c r="A74" s="409"/>
      <c r="B74" s="409"/>
      <c r="C74" s="409"/>
      <c r="D74" s="409"/>
      <c r="E74" s="409"/>
      <c r="F74" s="409"/>
      <c r="G74" s="409"/>
      <c r="H74" s="409"/>
      <c r="I74" s="409"/>
      <c r="J74" s="409"/>
      <c r="K74" s="409"/>
      <c r="L74" s="409"/>
      <c r="M74" s="409"/>
      <c r="N74" s="409"/>
      <c r="O74" s="409"/>
      <c r="P74" s="409"/>
      <c r="Q74" s="409"/>
      <c r="R74" s="409"/>
      <c r="S74" s="409"/>
      <c r="T74" s="409"/>
      <c r="U74" s="409"/>
      <c r="V74" s="409"/>
      <c r="W74" s="409"/>
      <c r="X74" s="409"/>
    </row>
    <row r="75" ht="15.75" customHeight="1">
      <c r="A75" s="409"/>
      <c r="B75" s="409"/>
      <c r="C75" s="409"/>
      <c r="D75" s="409"/>
      <c r="E75" s="409"/>
      <c r="F75" s="409"/>
      <c r="G75" s="409"/>
      <c r="H75" s="409"/>
      <c r="I75" s="409"/>
      <c r="J75" s="409"/>
      <c r="K75" s="409"/>
      <c r="L75" s="409"/>
      <c r="M75" s="409"/>
      <c r="N75" s="409"/>
      <c r="O75" s="409"/>
      <c r="P75" s="409"/>
      <c r="Q75" s="409"/>
      <c r="R75" s="409"/>
      <c r="S75" s="409"/>
      <c r="T75" s="409"/>
      <c r="U75" s="409"/>
      <c r="V75" s="409"/>
      <c r="W75" s="409"/>
      <c r="X75" s="409"/>
    </row>
    <row r="76" ht="15.75" customHeight="1">
      <c r="A76" s="409"/>
      <c r="B76" s="409"/>
      <c r="C76" s="409"/>
      <c r="D76" s="409"/>
      <c r="E76" s="409"/>
      <c r="F76" s="409"/>
      <c r="G76" s="409"/>
      <c r="H76" s="409"/>
      <c r="I76" s="409"/>
      <c r="J76" s="409"/>
      <c r="K76" s="409"/>
      <c r="L76" s="409"/>
      <c r="M76" s="409"/>
      <c r="N76" s="409"/>
      <c r="O76" s="409"/>
      <c r="P76" s="409"/>
      <c r="Q76" s="409"/>
      <c r="R76" s="409"/>
      <c r="S76" s="409"/>
      <c r="T76" s="409"/>
      <c r="U76" s="409"/>
      <c r="V76" s="409"/>
      <c r="W76" s="409"/>
      <c r="X76" s="409"/>
    </row>
    <row r="77" ht="15.75" customHeight="1">
      <c r="A77" s="409"/>
      <c r="B77" s="409"/>
      <c r="C77" s="409"/>
      <c r="D77" s="409"/>
      <c r="E77" s="409"/>
      <c r="F77" s="409"/>
      <c r="G77" s="409"/>
      <c r="H77" s="409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09"/>
      <c r="X77" s="409"/>
    </row>
    <row r="78" ht="15.75" customHeight="1">
      <c r="A78" s="409"/>
      <c r="B78" s="409"/>
      <c r="C78" s="409"/>
      <c r="D78" s="409"/>
      <c r="E78" s="409"/>
      <c r="F78" s="409"/>
      <c r="G78" s="409"/>
      <c r="H78" s="409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09"/>
      <c r="X78" s="409"/>
    </row>
    <row r="79" ht="15.75" customHeight="1">
      <c r="A79" s="409"/>
      <c r="B79" s="409"/>
      <c r="C79" s="409"/>
      <c r="D79" s="409"/>
      <c r="E79" s="409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409"/>
      <c r="X79" s="409"/>
    </row>
    <row r="80" ht="15.75" customHeight="1">
      <c r="A80" s="409"/>
      <c r="B80" s="409"/>
      <c r="C80" s="409"/>
      <c r="D80" s="409"/>
      <c r="E80" s="409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  <c r="X80" s="409"/>
    </row>
    <row r="81" ht="15.75" customHeight="1">
      <c r="A81" s="409"/>
      <c r="B81" s="409"/>
      <c r="C81" s="409"/>
      <c r="D81" s="409"/>
      <c r="E81" s="409"/>
      <c r="F81" s="409"/>
      <c r="G81" s="409"/>
      <c r="H81" s="409"/>
      <c r="I81" s="409"/>
      <c r="J81" s="409"/>
      <c r="K81" s="409"/>
      <c r="L81" s="409"/>
      <c r="M81" s="409"/>
      <c r="N81" s="409"/>
      <c r="O81" s="409"/>
      <c r="P81" s="409"/>
      <c r="Q81" s="409"/>
      <c r="R81" s="409"/>
      <c r="S81" s="409"/>
      <c r="T81" s="409"/>
      <c r="U81" s="409"/>
      <c r="V81" s="409"/>
      <c r="W81" s="409"/>
      <c r="X81" s="409"/>
    </row>
    <row r="82" ht="15.75" customHeight="1">
      <c r="A82" s="409"/>
      <c r="B82" s="409"/>
      <c r="C82" s="409"/>
      <c r="D82" s="409"/>
      <c r="E82" s="409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409"/>
      <c r="Q82" s="409"/>
      <c r="R82" s="409"/>
      <c r="S82" s="409"/>
      <c r="T82" s="409"/>
      <c r="U82" s="409"/>
      <c r="V82" s="409"/>
      <c r="W82" s="409"/>
      <c r="X82" s="409"/>
    </row>
    <row r="83" ht="15.75" customHeight="1">
      <c r="A83" s="409"/>
      <c r="B83" s="409"/>
      <c r="C83" s="409"/>
      <c r="D83" s="409"/>
      <c r="E83" s="409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09"/>
      <c r="Q83" s="409"/>
      <c r="R83" s="409"/>
      <c r="S83" s="409"/>
      <c r="T83" s="409"/>
      <c r="U83" s="409"/>
      <c r="V83" s="409"/>
      <c r="W83" s="409"/>
      <c r="X83" s="409"/>
    </row>
    <row r="84" ht="15.75" customHeight="1">
      <c r="A84" s="409"/>
      <c r="B84" s="409"/>
      <c r="C84" s="409"/>
      <c r="D84" s="409"/>
      <c r="E84" s="409"/>
      <c r="F84" s="409"/>
      <c r="G84" s="409"/>
      <c r="H84" s="409"/>
      <c r="I84" s="409"/>
      <c r="J84" s="409"/>
      <c r="K84" s="409"/>
      <c r="L84" s="409"/>
      <c r="M84" s="409"/>
      <c r="N84" s="409"/>
      <c r="O84" s="409"/>
      <c r="P84" s="409"/>
      <c r="Q84" s="409"/>
      <c r="R84" s="409"/>
      <c r="S84" s="409"/>
      <c r="T84" s="409"/>
      <c r="U84" s="409"/>
      <c r="V84" s="409"/>
      <c r="W84" s="409"/>
      <c r="X84" s="409"/>
    </row>
    <row r="85" ht="15.75" customHeight="1">
      <c r="A85" s="409"/>
      <c r="B85" s="409"/>
      <c r="C85" s="409"/>
      <c r="D85" s="409"/>
      <c r="E85" s="409"/>
      <c r="F85" s="409"/>
      <c r="G85" s="409"/>
      <c r="H85" s="409"/>
      <c r="I85" s="409"/>
      <c r="J85" s="409"/>
      <c r="K85" s="409"/>
      <c r="L85" s="409"/>
      <c r="M85" s="409"/>
      <c r="N85" s="409"/>
      <c r="O85" s="409"/>
      <c r="P85" s="409"/>
      <c r="Q85" s="409"/>
      <c r="R85" s="409"/>
      <c r="S85" s="409"/>
      <c r="T85" s="409"/>
      <c r="U85" s="409"/>
      <c r="V85" s="409"/>
      <c r="W85" s="409"/>
      <c r="X85" s="409"/>
    </row>
    <row r="86" ht="15.75" customHeight="1">
      <c r="A86" s="409"/>
      <c r="B86" s="409"/>
      <c r="C86" s="409"/>
      <c r="D86" s="409"/>
      <c r="E86" s="409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409"/>
      <c r="V86" s="409"/>
      <c r="W86" s="409"/>
      <c r="X86" s="409"/>
    </row>
    <row r="87" ht="15.75" customHeight="1">
      <c r="A87" s="409"/>
      <c r="B87" s="409"/>
      <c r="C87" s="409"/>
      <c r="D87" s="409"/>
      <c r="E87" s="409"/>
      <c r="F87" s="409"/>
      <c r="G87" s="409"/>
      <c r="H87" s="409"/>
      <c r="I87" s="409"/>
      <c r="J87" s="409"/>
      <c r="K87" s="409"/>
      <c r="L87" s="409"/>
      <c r="M87" s="409"/>
      <c r="N87" s="409"/>
      <c r="O87" s="409"/>
      <c r="P87" s="409"/>
      <c r="Q87" s="409"/>
      <c r="R87" s="409"/>
      <c r="S87" s="409"/>
      <c r="T87" s="409"/>
      <c r="U87" s="409"/>
      <c r="V87" s="409"/>
      <c r="W87" s="409"/>
      <c r="X87" s="409"/>
    </row>
    <row r="88" ht="15.75" customHeight="1">
      <c r="A88" s="409"/>
      <c r="B88" s="409"/>
      <c r="C88" s="409"/>
      <c r="D88" s="409"/>
      <c r="E88" s="409"/>
      <c r="F88" s="409"/>
      <c r="G88" s="409"/>
      <c r="H88" s="409"/>
      <c r="I88" s="409"/>
      <c r="J88" s="409"/>
      <c r="K88" s="409"/>
      <c r="L88" s="409"/>
      <c r="M88" s="409"/>
      <c r="N88" s="409"/>
      <c r="O88" s="409"/>
      <c r="P88" s="409"/>
      <c r="Q88" s="409"/>
      <c r="R88" s="409"/>
      <c r="S88" s="409"/>
      <c r="T88" s="409"/>
      <c r="U88" s="409"/>
      <c r="V88" s="409"/>
      <c r="W88" s="409"/>
      <c r="X88" s="409"/>
    </row>
    <row r="89" ht="15.75" customHeight="1">
      <c r="A89" s="409"/>
      <c r="B89" s="409"/>
      <c r="C89" s="409"/>
      <c r="D89" s="409"/>
      <c r="E89" s="409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09"/>
      <c r="V89" s="409"/>
      <c r="W89" s="409"/>
      <c r="X89" s="409"/>
    </row>
    <row r="90" ht="15.75" customHeight="1">
      <c r="A90" s="409"/>
      <c r="B90" s="409"/>
      <c r="C90" s="409"/>
      <c r="D90" s="409"/>
      <c r="E90" s="409"/>
      <c r="F90" s="409"/>
      <c r="G90" s="409"/>
      <c r="H90" s="409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09"/>
      <c r="X90" s="409"/>
    </row>
    <row r="91" ht="15.75" customHeight="1">
      <c r="A91" s="409"/>
      <c r="B91" s="409"/>
      <c r="C91" s="409"/>
      <c r="D91" s="409"/>
      <c r="E91" s="409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  <c r="X91" s="409"/>
    </row>
    <row r="92" ht="15.75" customHeight="1">
      <c r="A92" s="409"/>
      <c r="B92" s="409"/>
      <c r="C92" s="409"/>
      <c r="D92" s="409"/>
      <c r="E92" s="409"/>
      <c r="F92" s="409"/>
      <c r="G92" s="409"/>
      <c r="H92" s="409"/>
      <c r="I92" s="409"/>
      <c r="J92" s="409"/>
      <c r="K92" s="409"/>
      <c r="L92" s="409"/>
      <c r="M92" s="409"/>
      <c r="N92" s="409"/>
      <c r="O92" s="409"/>
      <c r="P92" s="409"/>
      <c r="Q92" s="409"/>
      <c r="R92" s="409"/>
      <c r="S92" s="409"/>
      <c r="T92" s="409"/>
      <c r="U92" s="409"/>
      <c r="V92" s="409"/>
      <c r="W92" s="409"/>
      <c r="X92" s="409"/>
    </row>
    <row r="93" ht="15.75" customHeight="1">
      <c r="A93" s="409"/>
      <c r="B93" s="409"/>
      <c r="C93" s="409"/>
      <c r="D93" s="409"/>
      <c r="E93" s="409"/>
      <c r="F93" s="409"/>
      <c r="G93" s="409"/>
      <c r="H93" s="409"/>
      <c r="I93" s="409"/>
      <c r="J93" s="409"/>
      <c r="K93" s="409"/>
      <c r="L93" s="409"/>
      <c r="M93" s="409"/>
      <c r="N93" s="409"/>
      <c r="O93" s="409"/>
      <c r="P93" s="409"/>
      <c r="Q93" s="409"/>
      <c r="R93" s="409"/>
      <c r="S93" s="409"/>
      <c r="T93" s="409"/>
      <c r="U93" s="409"/>
      <c r="V93" s="409"/>
      <c r="W93" s="409"/>
      <c r="X93" s="409"/>
    </row>
    <row r="94" ht="15.75" customHeight="1">
      <c r="A94" s="409"/>
      <c r="B94" s="409"/>
      <c r="C94" s="409"/>
      <c r="D94" s="409"/>
      <c r="E94" s="409"/>
      <c r="F94" s="409"/>
      <c r="G94" s="409"/>
      <c r="H94" s="409"/>
      <c r="I94" s="409"/>
      <c r="J94" s="409"/>
      <c r="K94" s="409"/>
      <c r="L94" s="409"/>
      <c r="M94" s="409"/>
      <c r="N94" s="409"/>
      <c r="O94" s="409"/>
      <c r="P94" s="409"/>
      <c r="Q94" s="409"/>
      <c r="R94" s="409"/>
      <c r="S94" s="409"/>
      <c r="T94" s="409"/>
      <c r="U94" s="409"/>
      <c r="V94" s="409"/>
      <c r="W94" s="409"/>
      <c r="X94" s="409"/>
    </row>
    <row r="95" ht="15.75" customHeight="1">
      <c r="A95" s="409"/>
      <c r="B95" s="409"/>
      <c r="C95" s="409"/>
      <c r="D95" s="409"/>
      <c r="E95" s="409"/>
      <c r="F95" s="409"/>
      <c r="G95" s="409"/>
      <c r="H95" s="409"/>
      <c r="I95" s="409"/>
      <c r="J95" s="409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  <c r="X95" s="409"/>
    </row>
    <row r="96" ht="15.75" customHeight="1">
      <c r="A96" s="409"/>
      <c r="B96" s="409"/>
      <c r="C96" s="409"/>
      <c r="D96" s="409"/>
      <c r="E96" s="409"/>
      <c r="F96" s="409"/>
      <c r="G96" s="409"/>
      <c r="H96" s="409"/>
      <c r="I96" s="409"/>
      <c r="J96" s="409"/>
      <c r="K96" s="409"/>
      <c r="L96" s="409"/>
      <c r="M96" s="409"/>
      <c r="N96" s="409"/>
      <c r="O96" s="409"/>
      <c r="P96" s="409"/>
      <c r="Q96" s="409"/>
      <c r="R96" s="409"/>
      <c r="S96" s="409"/>
      <c r="T96" s="409"/>
      <c r="U96" s="409"/>
      <c r="V96" s="409"/>
      <c r="W96" s="409"/>
      <c r="X96" s="409"/>
    </row>
    <row r="97" ht="15.75" customHeight="1">
      <c r="A97" s="409"/>
      <c r="B97" s="409"/>
      <c r="C97" s="409"/>
      <c r="D97" s="409"/>
      <c r="E97" s="409"/>
      <c r="F97" s="409"/>
      <c r="G97" s="409"/>
      <c r="H97" s="409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09"/>
      <c r="X97" s="409"/>
    </row>
    <row r="98" ht="15.75" customHeight="1">
      <c r="A98" s="409"/>
      <c r="B98" s="409"/>
      <c r="C98" s="409"/>
      <c r="D98" s="409"/>
      <c r="E98" s="409"/>
      <c r="F98" s="409"/>
      <c r="G98" s="409"/>
      <c r="H98" s="409"/>
      <c r="I98" s="409"/>
      <c r="J98" s="409"/>
      <c r="K98" s="409"/>
      <c r="L98" s="409"/>
      <c r="M98" s="409"/>
      <c r="N98" s="409"/>
      <c r="O98" s="409"/>
      <c r="P98" s="409"/>
      <c r="Q98" s="409"/>
      <c r="R98" s="409"/>
      <c r="S98" s="409"/>
      <c r="T98" s="409"/>
      <c r="U98" s="409"/>
      <c r="V98" s="409"/>
      <c r="W98" s="409"/>
      <c r="X98" s="409"/>
    </row>
    <row r="99" ht="15.75" customHeight="1">
      <c r="A99" s="409"/>
      <c r="B99" s="409"/>
      <c r="C99" s="409"/>
      <c r="D99" s="409"/>
      <c r="E99" s="409"/>
      <c r="F99" s="409"/>
      <c r="G99" s="409"/>
      <c r="H99" s="409"/>
      <c r="I99" s="409"/>
      <c r="J99" s="409"/>
      <c r="K99" s="409"/>
      <c r="L99" s="409"/>
      <c r="M99" s="409"/>
      <c r="N99" s="409"/>
      <c r="O99" s="409"/>
      <c r="P99" s="409"/>
      <c r="Q99" s="409"/>
      <c r="R99" s="409"/>
      <c r="S99" s="409"/>
      <c r="T99" s="409"/>
      <c r="U99" s="409"/>
      <c r="V99" s="409"/>
      <c r="W99" s="409"/>
      <c r="X99" s="409"/>
    </row>
    <row r="100" ht="15.75" customHeight="1">
      <c r="A100" s="409"/>
      <c r="B100" s="409"/>
      <c r="C100" s="409"/>
      <c r="D100" s="409"/>
      <c r="E100" s="409"/>
      <c r="F100" s="409"/>
      <c r="G100" s="409"/>
      <c r="H100" s="409"/>
      <c r="I100" s="409"/>
      <c r="J100" s="409"/>
      <c r="K100" s="409"/>
      <c r="L100" s="409"/>
      <c r="M100" s="409"/>
      <c r="N100" s="409"/>
      <c r="O100" s="409"/>
      <c r="P100" s="409"/>
      <c r="Q100" s="409"/>
      <c r="R100" s="409"/>
      <c r="S100" s="409"/>
      <c r="T100" s="409"/>
      <c r="U100" s="409"/>
      <c r="V100" s="409"/>
      <c r="W100" s="409"/>
      <c r="X100" s="409"/>
    </row>
    <row r="101" ht="15.75" customHeight="1">
      <c r="A101" s="409"/>
      <c r="B101" s="409"/>
      <c r="C101" s="409"/>
      <c r="D101" s="409"/>
      <c r="E101" s="409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09"/>
      <c r="Q101" s="409"/>
      <c r="R101" s="409"/>
      <c r="S101" s="409"/>
      <c r="T101" s="409"/>
      <c r="U101" s="409"/>
      <c r="V101" s="409"/>
      <c r="W101" s="409"/>
      <c r="X101" s="409"/>
    </row>
    <row r="102" ht="15.75" customHeight="1">
      <c r="A102" s="409"/>
      <c r="B102" s="409"/>
      <c r="C102" s="409"/>
      <c r="D102" s="409"/>
      <c r="E102" s="409"/>
      <c r="F102" s="409"/>
      <c r="G102" s="409"/>
      <c r="H102" s="409"/>
      <c r="I102" s="409"/>
      <c r="J102" s="409"/>
      <c r="K102" s="409"/>
      <c r="L102" s="409"/>
      <c r="M102" s="409"/>
      <c r="N102" s="409"/>
      <c r="O102" s="409"/>
      <c r="P102" s="409"/>
      <c r="Q102" s="409"/>
      <c r="R102" s="409"/>
      <c r="S102" s="409"/>
      <c r="T102" s="409"/>
      <c r="U102" s="409"/>
      <c r="V102" s="409"/>
      <c r="W102" s="409"/>
      <c r="X102" s="409"/>
    </row>
    <row r="103" ht="15.75" customHeight="1">
      <c r="A103" s="409"/>
      <c r="B103" s="409"/>
      <c r="C103" s="409"/>
      <c r="D103" s="409"/>
      <c r="E103" s="409"/>
      <c r="F103" s="409"/>
      <c r="G103" s="409"/>
      <c r="H103" s="409"/>
      <c r="I103" s="409"/>
      <c r="J103" s="409"/>
      <c r="K103" s="409"/>
      <c r="L103" s="409"/>
      <c r="M103" s="409"/>
      <c r="N103" s="409"/>
      <c r="O103" s="409"/>
      <c r="P103" s="409"/>
      <c r="Q103" s="409"/>
      <c r="R103" s="409"/>
      <c r="S103" s="409"/>
      <c r="T103" s="409"/>
      <c r="U103" s="409"/>
      <c r="V103" s="409"/>
      <c r="W103" s="409"/>
      <c r="X103" s="409"/>
    </row>
    <row r="104" ht="15.75" customHeight="1">
      <c r="A104" s="409"/>
      <c r="B104" s="409"/>
      <c r="C104" s="409"/>
      <c r="D104" s="409"/>
      <c r="E104" s="409"/>
      <c r="F104" s="409"/>
      <c r="G104" s="409"/>
      <c r="H104" s="409"/>
      <c r="I104" s="409"/>
      <c r="J104" s="409"/>
      <c r="K104" s="409"/>
      <c r="L104" s="409"/>
      <c r="M104" s="409"/>
      <c r="N104" s="409"/>
      <c r="O104" s="409"/>
      <c r="P104" s="409"/>
      <c r="Q104" s="409"/>
      <c r="R104" s="409"/>
      <c r="S104" s="409"/>
      <c r="T104" s="409"/>
      <c r="U104" s="409"/>
      <c r="V104" s="409"/>
      <c r="W104" s="409"/>
      <c r="X104" s="409"/>
    </row>
    <row r="105" ht="15.75" customHeight="1">
      <c r="A105" s="409"/>
      <c r="B105" s="409"/>
      <c r="C105" s="409"/>
      <c r="D105" s="409"/>
      <c r="E105" s="409"/>
      <c r="F105" s="409"/>
      <c r="G105" s="409"/>
      <c r="H105" s="409"/>
      <c r="I105" s="409"/>
      <c r="J105" s="409"/>
      <c r="K105" s="409"/>
      <c r="L105" s="409"/>
      <c r="M105" s="409"/>
      <c r="N105" s="409"/>
      <c r="O105" s="409"/>
      <c r="P105" s="409"/>
      <c r="Q105" s="409"/>
      <c r="R105" s="409"/>
      <c r="S105" s="409"/>
      <c r="T105" s="409"/>
      <c r="U105" s="409"/>
      <c r="V105" s="409"/>
      <c r="W105" s="409"/>
      <c r="X105" s="409"/>
    </row>
    <row r="106" ht="15.75" customHeight="1">
      <c r="A106" s="409"/>
      <c r="B106" s="409"/>
      <c r="C106" s="409"/>
      <c r="D106" s="409"/>
      <c r="E106" s="409"/>
      <c r="F106" s="409"/>
      <c r="G106" s="409"/>
      <c r="H106" s="409"/>
      <c r="I106" s="409"/>
      <c r="J106" s="409"/>
      <c r="K106" s="409"/>
      <c r="L106" s="409"/>
      <c r="M106" s="409"/>
      <c r="N106" s="409"/>
      <c r="O106" s="409"/>
      <c r="P106" s="409"/>
      <c r="Q106" s="409"/>
      <c r="R106" s="409"/>
      <c r="S106" s="409"/>
      <c r="T106" s="409"/>
      <c r="U106" s="409"/>
      <c r="V106" s="409"/>
      <c r="W106" s="409"/>
      <c r="X106" s="409"/>
    </row>
    <row r="107" ht="15.75" customHeight="1">
      <c r="A107" s="409"/>
      <c r="B107" s="409"/>
      <c r="C107" s="409"/>
      <c r="D107" s="409"/>
      <c r="E107" s="409"/>
      <c r="F107" s="409"/>
      <c r="G107" s="409"/>
      <c r="H107" s="409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09"/>
      <c r="X107" s="409"/>
    </row>
    <row r="108" ht="15.75" customHeight="1">
      <c r="A108" s="409"/>
      <c r="B108" s="409"/>
      <c r="C108" s="409"/>
      <c r="D108" s="409"/>
      <c r="E108" s="409"/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409"/>
      <c r="U108" s="409"/>
      <c r="V108" s="409"/>
      <c r="W108" s="409"/>
      <c r="X108" s="409"/>
    </row>
    <row r="109" ht="15.75" customHeight="1">
      <c r="A109" s="409"/>
      <c r="B109" s="409"/>
      <c r="C109" s="409"/>
      <c r="D109" s="409"/>
      <c r="E109" s="409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  <c r="X109" s="409"/>
    </row>
    <row r="110" ht="15.75" customHeight="1">
      <c r="A110" s="409"/>
      <c r="B110" s="409"/>
      <c r="C110" s="409"/>
      <c r="D110" s="409"/>
      <c r="E110" s="409"/>
      <c r="F110" s="409"/>
      <c r="G110" s="409"/>
      <c r="H110" s="409"/>
      <c r="I110" s="409"/>
      <c r="J110" s="409"/>
      <c r="K110" s="409"/>
      <c r="L110" s="409"/>
      <c r="M110" s="409"/>
      <c r="N110" s="409"/>
      <c r="O110" s="409"/>
      <c r="P110" s="409"/>
      <c r="Q110" s="409"/>
      <c r="R110" s="409"/>
      <c r="S110" s="409"/>
      <c r="T110" s="409"/>
      <c r="U110" s="409"/>
      <c r="V110" s="409"/>
      <c r="W110" s="409"/>
      <c r="X110" s="409"/>
    </row>
    <row r="111" ht="15.75" customHeight="1">
      <c r="A111" s="409"/>
      <c r="B111" s="409"/>
      <c r="C111" s="409"/>
      <c r="D111" s="409"/>
      <c r="E111" s="409"/>
      <c r="F111" s="409"/>
      <c r="G111" s="409"/>
      <c r="H111" s="409"/>
      <c r="I111" s="409"/>
      <c r="J111" s="409"/>
      <c r="K111" s="409"/>
      <c r="L111" s="409"/>
      <c r="M111" s="409"/>
      <c r="N111" s="409"/>
      <c r="O111" s="409"/>
      <c r="P111" s="409"/>
      <c r="Q111" s="409"/>
      <c r="R111" s="409"/>
      <c r="S111" s="409"/>
      <c r="T111" s="409"/>
      <c r="U111" s="409"/>
      <c r="V111" s="409"/>
      <c r="W111" s="409"/>
      <c r="X111" s="409"/>
    </row>
    <row r="112" ht="15.75" customHeight="1">
      <c r="A112" s="409"/>
      <c r="B112" s="409"/>
      <c r="C112" s="409"/>
      <c r="D112" s="409"/>
      <c r="E112" s="409"/>
      <c r="F112" s="409"/>
      <c r="G112" s="409"/>
      <c r="H112" s="409"/>
      <c r="I112" s="409"/>
      <c r="J112" s="409"/>
      <c r="K112" s="409"/>
      <c r="L112" s="409"/>
      <c r="M112" s="409"/>
      <c r="N112" s="409"/>
      <c r="O112" s="409"/>
      <c r="P112" s="409"/>
      <c r="Q112" s="409"/>
      <c r="R112" s="409"/>
      <c r="S112" s="409"/>
      <c r="T112" s="409"/>
      <c r="U112" s="409"/>
      <c r="V112" s="409"/>
      <c r="W112" s="409"/>
      <c r="X112" s="409"/>
    </row>
    <row r="113" ht="15.75" customHeight="1">
      <c r="A113" s="409"/>
      <c r="B113" s="409"/>
      <c r="C113" s="409"/>
      <c r="D113" s="409"/>
      <c r="E113" s="409"/>
      <c r="F113" s="409"/>
      <c r="G113" s="409"/>
      <c r="H113" s="409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09"/>
      <c r="X113" s="409"/>
    </row>
    <row r="114" ht="15.75" customHeight="1">
      <c r="A114" s="409"/>
      <c r="B114" s="409"/>
      <c r="C114" s="409"/>
      <c r="D114" s="409"/>
      <c r="E114" s="409"/>
      <c r="F114" s="409"/>
      <c r="G114" s="409"/>
      <c r="H114" s="409"/>
      <c r="I114" s="409"/>
      <c r="J114" s="409"/>
      <c r="K114" s="409"/>
      <c r="L114" s="409"/>
      <c r="M114" s="409"/>
      <c r="N114" s="409"/>
      <c r="O114" s="409"/>
      <c r="P114" s="409"/>
      <c r="Q114" s="409"/>
      <c r="R114" s="409"/>
      <c r="S114" s="409"/>
      <c r="T114" s="409"/>
      <c r="U114" s="409"/>
      <c r="V114" s="409"/>
      <c r="W114" s="409"/>
      <c r="X114" s="409"/>
    </row>
    <row r="115" ht="15.75" customHeight="1">
      <c r="A115" s="409"/>
      <c r="B115" s="409"/>
      <c r="C115" s="409"/>
      <c r="D115" s="409"/>
      <c r="E115" s="409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09"/>
      <c r="Q115" s="409"/>
      <c r="R115" s="409"/>
      <c r="S115" s="409"/>
      <c r="T115" s="409"/>
      <c r="U115" s="409"/>
      <c r="V115" s="409"/>
      <c r="W115" s="409"/>
      <c r="X115" s="409"/>
    </row>
    <row r="116" ht="15.75" customHeight="1">
      <c r="A116" s="409"/>
      <c r="B116" s="409"/>
      <c r="C116" s="409"/>
      <c r="D116" s="409"/>
      <c r="E116" s="409"/>
      <c r="F116" s="409"/>
      <c r="G116" s="409"/>
      <c r="H116" s="409"/>
      <c r="I116" s="409"/>
      <c r="J116" s="409"/>
      <c r="K116" s="409"/>
      <c r="L116" s="409"/>
      <c r="M116" s="409"/>
      <c r="N116" s="409"/>
      <c r="O116" s="409"/>
      <c r="P116" s="409"/>
      <c r="Q116" s="409"/>
      <c r="R116" s="409"/>
      <c r="S116" s="409"/>
      <c r="T116" s="409"/>
      <c r="U116" s="409"/>
      <c r="V116" s="409"/>
      <c r="W116" s="409"/>
      <c r="X116" s="409"/>
    </row>
    <row r="117" ht="15.75" customHeight="1">
      <c r="A117" s="409"/>
      <c r="B117" s="409"/>
      <c r="C117" s="409"/>
      <c r="D117" s="409"/>
      <c r="E117" s="409"/>
      <c r="F117" s="409"/>
      <c r="G117" s="409"/>
      <c r="H117" s="409"/>
      <c r="I117" s="409"/>
      <c r="J117" s="409"/>
      <c r="K117" s="409"/>
      <c r="L117" s="409"/>
      <c r="M117" s="409"/>
      <c r="N117" s="409"/>
      <c r="O117" s="409"/>
      <c r="P117" s="409"/>
      <c r="Q117" s="409"/>
      <c r="R117" s="409"/>
      <c r="S117" s="409"/>
      <c r="T117" s="409"/>
      <c r="U117" s="409"/>
      <c r="V117" s="409"/>
      <c r="W117" s="409"/>
      <c r="X117" s="409"/>
    </row>
    <row r="118" ht="15.75" customHeight="1">
      <c r="A118" s="409"/>
      <c r="B118" s="409"/>
      <c r="C118" s="409"/>
      <c r="D118" s="409"/>
      <c r="E118" s="409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409"/>
      <c r="Q118" s="409"/>
      <c r="R118" s="409"/>
      <c r="S118" s="409"/>
      <c r="T118" s="409"/>
      <c r="U118" s="409"/>
      <c r="V118" s="409"/>
      <c r="W118" s="409"/>
      <c r="X118" s="409"/>
    </row>
    <row r="119" ht="15.75" customHeight="1">
      <c r="A119" s="409"/>
      <c r="B119" s="409"/>
      <c r="C119" s="409"/>
      <c r="D119" s="409"/>
      <c r="E119" s="409"/>
      <c r="F119" s="409"/>
      <c r="G119" s="409"/>
      <c r="H119" s="409"/>
      <c r="I119" s="409"/>
      <c r="J119" s="409"/>
      <c r="K119" s="409"/>
      <c r="L119" s="409"/>
      <c r="M119" s="409"/>
      <c r="N119" s="409"/>
      <c r="O119" s="409"/>
      <c r="P119" s="409"/>
      <c r="Q119" s="409"/>
      <c r="R119" s="409"/>
      <c r="S119" s="409"/>
      <c r="T119" s="409"/>
      <c r="U119" s="409"/>
      <c r="V119" s="409"/>
      <c r="W119" s="409"/>
      <c r="X119" s="409"/>
    </row>
    <row r="120" ht="15.75" customHeight="1">
      <c r="A120" s="409"/>
      <c r="B120" s="409"/>
      <c r="C120" s="409"/>
      <c r="D120" s="409"/>
      <c r="E120" s="409"/>
      <c r="F120" s="409"/>
      <c r="G120" s="409"/>
      <c r="H120" s="409"/>
      <c r="I120" s="409"/>
      <c r="J120" s="409"/>
      <c r="K120" s="409"/>
      <c r="L120" s="409"/>
      <c r="M120" s="409"/>
      <c r="N120" s="409"/>
      <c r="O120" s="409"/>
      <c r="P120" s="409"/>
      <c r="Q120" s="409"/>
      <c r="R120" s="409"/>
      <c r="S120" s="409"/>
      <c r="T120" s="409"/>
      <c r="U120" s="409"/>
      <c r="V120" s="409"/>
      <c r="W120" s="409"/>
      <c r="X120" s="409"/>
    </row>
    <row r="121" ht="15.75" customHeight="1">
      <c r="A121" s="409"/>
      <c r="B121" s="409"/>
      <c r="C121" s="409"/>
      <c r="D121" s="409"/>
      <c r="E121" s="409"/>
      <c r="F121" s="409"/>
      <c r="G121" s="409"/>
      <c r="H121" s="409"/>
      <c r="I121" s="409"/>
      <c r="J121" s="409"/>
      <c r="K121" s="409"/>
      <c r="L121" s="409"/>
      <c r="M121" s="409"/>
      <c r="N121" s="409"/>
      <c r="O121" s="409"/>
      <c r="P121" s="409"/>
      <c r="Q121" s="409"/>
      <c r="R121" s="409"/>
      <c r="S121" s="409"/>
      <c r="T121" s="409"/>
      <c r="U121" s="409"/>
      <c r="V121" s="409"/>
      <c r="W121" s="409"/>
      <c r="X121" s="409"/>
    </row>
    <row r="122" ht="15.75" customHeight="1">
      <c r="A122" s="409"/>
      <c r="B122" s="409"/>
      <c r="C122" s="409"/>
      <c r="D122" s="409"/>
      <c r="E122" s="409"/>
      <c r="F122" s="409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409"/>
      <c r="X122" s="409"/>
    </row>
    <row r="123" ht="15.75" customHeight="1">
      <c r="A123" s="409"/>
      <c r="B123" s="409"/>
      <c r="C123" s="409"/>
      <c r="D123" s="409"/>
      <c r="E123" s="409"/>
      <c r="F123" s="409"/>
      <c r="G123" s="409"/>
      <c r="H123" s="409"/>
      <c r="I123" s="409"/>
      <c r="J123" s="409"/>
      <c r="K123" s="409"/>
      <c r="L123" s="409"/>
      <c r="M123" s="409"/>
      <c r="N123" s="409"/>
      <c r="O123" s="409"/>
      <c r="P123" s="409"/>
      <c r="Q123" s="409"/>
      <c r="R123" s="409"/>
      <c r="S123" s="409"/>
      <c r="T123" s="409"/>
      <c r="U123" s="409"/>
      <c r="V123" s="409"/>
      <c r="W123" s="409"/>
      <c r="X123" s="409"/>
    </row>
    <row r="124" ht="15.75" customHeight="1">
      <c r="A124" s="409"/>
      <c r="B124" s="409"/>
      <c r="C124" s="409"/>
      <c r="D124" s="409"/>
      <c r="E124" s="409"/>
      <c r="F124" s="409"/>
      <c r="G124" s="409"/>
      <c r="H124" s="409"/>
      <c r="I124" s="409"/>
      <c r="J124" s="409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  <c r="X124" s="409"/>
    </row>
    <row r="125" ht="15.75" customHeight="1">
      <c r="A125" s="409"/>
      <c r="B125" s="409"/>
      <c r="C125" s="409"/>
      <c r="D125" s="409"/>
      <c r="E125" s="409"/>
      <c r="F125" s="409"/>
      <c r="G125" s="409"/>
      <c r="H125" s="409"/>
      <c r="I125" s="409"/>
      <c r="J125" s="409"/>
      <c r="K125" s="409"/>
      <c r="L125" s="409"/>
      <c r="M125" s="409"/>
      <c r="N125" s="409"/>
      <c r="O125" s="409"/>
      <c r="P125" s="409"/>
      <c r="Q125" s="409"/>
      <c r="R125" s="409"/>
      <c r="S125" s="409"/>
      <c r="T125" s="409"/>
      <c r="U125" s="409"/>
      <c r="V125" s="409"/>
      <c r="W125" s="409"/>
      <c r="X125" s="409"/>
    </row>
    <row r="126" ht="15.75" customHeight="1">
      <c r="A126" s="409"/>
      <c r="B126" s="409"/>
      <c r="C126" s="409"/>
      <c r="D126" s="409"/>
      <c r="E126" s="409"/>
      <c r="F126" s="409"/>
      <c r="G126" s="409"/>
      <c r="H126" s="409"/>
      <c r="I126" s="409"/>
      <c r="J126" s="409"/>
      <c r="K126" s="409"/>
      <c r="L126" s="409"/>
      <c r="M126" s="409"/>
      <c r="N126" s="409"/>
      <c r="O126" s="409"/>
      <c r="P126" s="409"/>
      <c r="Q126" s="409"/>
      <c r="R126" s="409"/>
      <c r="S126" s="409"/>
      <c r="T126" s="409"/>
      <c r="U126" s="409"/>
      <c r="V126" s="409"/>
      <c r="W126" s="409"/>
      <c r="X126" s="409"/>
    </row>
    <row r="127" ht="15.75" customHeight="1">
      <c r="A127" s="409"/>
      <c r="B127" s="409"/>
      <c r="C127" s="409"/>
      <c r="D127" s="409"/>
      <c r="E127" s="409"/>
      <c r="F127" s="409"/>
      <c r="G127" s="409"/>
      <c r="H127" s="409"/>
      <c r="I127" s="409"/>
      <c r="J127" s="409"/>
      <c r="K127" s="409"/>
      <c r="L127" s="409"/>
      <c r="M127" s="409"/>
      <c r="N127" s="409"/>
      <c r="O127" s="409"/>
      <c r="P127" s="409"/>
      <c r="Q127" s="409"/>
      <c r="R127" s="409"/>
      <c r="S127" s="409"/>
      <c r="T127" s="409"/>
      <c r="U127" s="409"/>
      <c r="V127" s="409"/>
      <c r="W127" s="409"/>
      <c r="X127" s="409"/>
    </row>
    <row r="128" ht="15.75" customHeight="1">
      <c r="A128" s="409"/>
      <c r="B128" s="409"/>
      <c r="C128" s="409"/>
      <c r="D128" s="409"/>
      <c r="E128" s="409"/>
      <c r="F128" s="409"/>
      <c r="G128" s="409"/>
      <c r="H128" s="409"/>
      <c r="I128" s="409"/>
      <c r="J128" s="409"/>
      <c r="K128" s="409"/>
      <c r="L128" s="409"/>
      <c r="M128" s="409"/>
      <c r="N128" s="409"/>
      <c r="O128" s="409"/>
      <c r="P128" s="409"/>
      <c r="Q128" s="409"/>
      <c r="R128" s="409"/>
      <c r="S128" s="409"/>
      <c r="T128" s="409"/>
      <c r="U128" s="409"/>
      <c r="V128" s="409"/>
      <c r="W128" s="409"/>
      <c r="X128" s="409"/>
    </row>
    <row r="129" ht="15.75" customHeight="1">
      <c r="A129" s="409"/>
      <c r="B129" s="409"/>
      <c r="C129" s="409"/>
      <c r="D129" s="409"/>
      <c r="E129" s="409"/>
      <c r="F129" s="409"/>
      <c r="G129" s="409"/>
      <c r="H129" s="409"/>
      <c r="I129" s="409"/>
      <c r="J129" s="409"/>
      <c r="K129" s="409"/>
      <c r="L129" s="409"/>
      <c r="M129" s="409"/>
      <c r="N129" s="409"/>
      <c r="O129" s="409"/>
      <c r="P129" s="409"/>
      <c r="Q129" s="409"/>
      <c r="R129" s="409"/>
      <c r="S129" s="409"/>
      <c r="T129" s="409"/>
      <c r="U129" s="409"/>
      <c r="V129" s="409"/>
      <c r="W129" s="409"/>
      <c r="X129" s="409"/>
    </row>
    <row r="130" ht="15.75" customHeight="1">
      <c r="A130" s="409"/>
      <c r="B130" s="409"/>
      <c r="C130" s="409"/>
      <c r="D130" s="409"/>
      <c r="E130" s="409"/>
      <c r="F130" s="409"/>
      <c r="G130" s="409"/>
      <c r="H130" s="409"/>
      <c r="I130" s="409"/>
      <c r="J130" s="409"/>
      <c r="K130" s="409"/>
      <c r="L130" s="409"/>
      <c r="M130" s="409"/>
      <c r="N130" s="409"/>
      <c r="O130" s="409"/>
      <c r="P130" s="409"/>
      <c r="Q130" s="409"/>
      <c r="R130" s="409"/>
      <c r="S130" s="409"/>
      <c r="T130" s="409"/>
      <c r="U130" s="409"/>
      <c r="V130" s="409"/>
      <c r="W130" s="409"/>
      <c r="X130" s="409"/>
    </row>
    <row r="131" ht="15.75" customHeight="1">
      <c r="A131" s="409"/>
      <c r="B131" s="409"/>
      <c r="C131" s="409"/>
      <c r="D131" s="409"/>
      <c r="E131" s="409"/>
      <c r="F131" s="409"/>
      <c r="G131" s="409"/>
      <c r="H131" s="409"/>
      <c r="I131" s="409"/>
      <c r="J131" s="409"/>
      <c r="K131" s="409"/>
      <c r="L131" s="409"/>
      <c r="M131" s="409"/>
      <c r="N131" s="409"/>
      <c r="O131" s="409"/>
      <c r="P131" s="409"/>
      <c r="Q131" s="409"/>
      <c r="R131" s="409"/>
      <c r="S131" s="409"/>
      <c r="T131" s="409"/>
      <c r="U131" s="409"/>
      <c r="V131" s="409"/>
      <c r="W131" s="409"/>
      <c r="X131" s="409"/>
    </row>
    <row r="132" ht="15.75" customHeight="1">
      <c r="A132" s="409"/>
      <c r="B132" s="409"/>
      <c r="C132" s="409"/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409"/>
      <c r="S132" s="409"/>
      <c r="T132" s="409"/>
      <c r="U132" s="409"/>
      <c r="V132" s="409"/>
      <c r="W132" s="409"/>
      <c r="X132" s="409"/>
    </row>
    <row r="133" ht="15.75" customHeight="1">
      <c r="A133" s="409"/>
      <c r="B133" s="409"/>
      <c r="C133" s="409"/>
      <c r="D133" s="409"/>
      <c r="E133" s="409"/>
      <c r="F133" s="409"/>
      <c r="G133" s="409"/>
      <c r="H133" s="409"/>
      <c r="I133" s="409"/>
      <c r="J133" s="409"/>
      <c r="K133" s="409"/>
      <c r="L133" s="409"/>
      <c r="M133" s="409"/>
      <c r="N133" s="409"/>
      <c r="O133" s="409"/>
      <c r="P133" s="409"/>
      <c r="Q133" s="409"/>
      <c r="R133" s="409"/>
      <c r="S133" s="409"/>
      <c r="T133" s="409"/>
      <c r="U133" s="409"/>
      <c r="V133" s="409"/>
      <c r="W133" s="409"/>
      <c r="X133" s="409"/>
    </row>
    <row r="134" ht="15.75" customHeight="1">
      <c r="A134" s="409"/>
      <c r="B134" s="409"/>
      <c r="C134" s="409"/>
      <c r="D134" s="409"/>
      <c r="E134" s="409"/>
      <c r="F134" s="409"/>
      <c r="G134" s="409"/>
      <c r="H134" s="409"/>
      <c r="I134" s="409"/>
      <c r="J134" s="409"/>
      <c r="K134" s="409"/>
      <c r="L134" s="409"/>
      <c r="M134" s="409"/>
      <c r="N134" s="409"/>
      <c r="O134" s="409"/>
      <c r="P134" s="409"/>
      <c r="Q134" s="409"/>
      <c r="R134" s="409"/>
      <c r="S134" s="409"/>
      <c r="T134" s="409"/>
      <c r="U134" s="409"/>
      <c r="V134" s="409"/>
      <c r="W134" s="409"/>
      <c r="X134" s="409"/>
    </row>
    <row r="135" ht="15.75" customHeight="1">
      <c r="A135" s="409"/>
      <c r="B135" s="409"/>
      <c r="C135" s="409"/>
      <c r="D135" s="409"/>
      <c r="E135" s="409"/>
      <c r="F135" s="409"/>
      <c r="G135" s="409"/>
      <c r="H135" s="409"/>
      <c r="I135" s="409"/>
      <c r="J135" s="409"/>
      <c r="K135" s="409"/>
      <c r="L135" s="409"/>
      <c r="M135" s="409"/>
      <c r="N135" s="409"/>
      <c r="O135" s="409"/>
      <c r="P135" s="409"/>
      <c r="Q135" s="409"/>
      <c r="R135" s="409"/>
      <c r="S135" s="409"/>
      <c r="T135" s="409"/>
      <c r="U135" s="409"/>
      <c r="V135" s="409"/>
      <c r="W135" s="409"/>
      <c r="X135" s="409"/>
    </row>
    <row r="136" ht="15.75" customHeight="1">
      <c r="A136" s="409"/>
      <c r="B136" s="409"/>
      <c r="C136" s="409"/>
      <c r="D136" s="409"/>
      <c r="E136" s="409"/>
      <c r="F136" s="409"/>
      <c r="G136" s="409"/>
      <c r="H136" s="409"/>
      <c r="I136" s="409"/>
      <c r="J136" s="409"/>
      <c r="K136" s="409"/>
      <c r="L136" s="409"/>
      <c r="M136" s="409"/>
      <c r="N136" s="409"/>
      <c r="O136" s="409"/>
      <c r="P136" s="409"/>
      <c r="Q136" s="409"/>
      <c r="R136" s="409"/>
      <c r="S136" s="409"/>
      <c r="T136" s="409"/>
      <c r="U136" s="409"/>
      <c r="V136" s="409"/>
      <c r="W136" s="409"/>
      <c r="X136" s="409"/>
    </row>
    <row r="137" ht="15.75" customHeight="1">
      <c r="A137" s="409"/>
      <c r="B137" s="409"/>
      <c r="C137" s="409"/>
      <c r="D137" s="409"/>
      <c r="E137" s="409"/>
      <c r="F137" s="409"/>
      <c r="G137" s="409"/>
      <c r="H137" s="409"/>
      <c r="I137" s="409"/>
      <c r="J137" s="409"/>
      <c r="K137" s="409"/>
      <c r="L137" s="409"/>
      <c r="M137" s="409"/>
      <c r="N137" s="409"/>
      <c r="O137" s="409"/>
      <c r="P137" s="409"/>
      <c r="Q137" s="409"/>
      <c r="R137" s="409"/>
      <c r="S137" s="409"/>
      <c r="T137" s="409"/>
      <c r="U137" s="409"/>
      <c r="V137" s="409"/>
      <c r="W137" s="409"/>
      <c r="X137" s="409"/>
    </row>
    <row r="138" ht="15.75" customHeight="1">
      <c r="A138" s="409"/>
      <c r="B138" s="409"/>
      <c r="C138" s="409"/>
      <c r="D138" s="409"/>
      <c r="E138" s="409"/>
      <c r="F138" s="409"/>
      <c r="G138" s="409"/>
      <c r="H138" s="409"/>
      <c r="I138" s="409"/>
      <c r="J138" s="409"/>
      <c r="K138" s="409"/>
      <c r="L138" s="409"/>
      <c r="M138" s="409"/>
      <c r="N138" s="409"/>
      <c r="O138" s="409"/>
      <c r="P138" s="409"/>
      <c r="Q138" s="409"/>
      <c r="R138" s="409"/>
      <c r="S138" s="409"/>
      <c r="T138" s="409"/>
      <c r="U138" s="409"/>
      <c r="V138" s="409"/>
      <c r="W138" s="409"/>
      <c r="X138" s="409"/>
    </row>
    <row r="139" ht="15.75" customHeight="1">
      <c r="A139" s="409"/>
      <c r="B139" s="409"/>
      <c r="C139" s="409"/>
      <c r="D139" s="409"/>
      <c r="E139" s="409"/>
      <c r="F139" s="409"/>
      <c r="G139" s="409"/>
      <c r="H139" s="409"/>
      <c r="I139" s="409"/>
      <c r="J139" s="409"/>
      <c r="K139" s="409"/>
      <c r="L139" s="409"/>
      <c r="M139" s="409"/>
      <c r="N139" s="409"/>
      <c r="O139" s="409"/>
      <c r="P139" s="409"/>
      <c r="Q139" s="409"/>
      <c r="R139" s="409"/>
      <c r="S139" s="409"/>
      <c r="T139" s="409"/>
      <c r="U139" s="409"/>
      <c r="V139" s="409"/>
      <c r="W139" s="409"/>
      <c r="X139" s="409"/>
    </row>
    <row r="140" ht="15.75" customHeight="1">
      <c r="A140" s="409"/>
      <c r="B140" s="409"/>
      <c r="C140" s="409"/>
      <c r="D140" s="409"/>
      <c r="E140" s="409"/>
      <c r="F140" s="409"/>
      <c r="G140" s="409"/>
      <c r="H140" s="409"/>
      <c r="I140" s="409"/>
      <c r="J140" s="409"/>
      <c r="K140" s="409"/>
      <c r="L140" s="409"/>
      <c r="M140" s="409"/>
      <c r="N140" s="409"/>
      <c r="O140" s="409"/>
      <c r="P140" s="409"/>
      <c r="Q140" s="409"/>
      <c r="R140" s="409"/>
      <c r="S140" s="409"/>
      <c r="T140" s="409"/>
      <c r="U140" s="409"/>
      <c r="V140" s="409"/>
      <c r="W140" s="409"/>
      <c r="X140" s="409"/>
    </row>
    <row r="141" ht="15.75" customHeight="1">
      <c r="A141" s="409"/>
      <c r="B141" s="409"/>
      <c r="C141" s="409"/>
      <c r="D141" s="409"/>
      <c r="E141" s="409"/>
      <c r="F141" s="409"/>
      <c r="G141" s="409"/>
      <c r="H141" s="409"/>
      <c r="I141" s="409"/>
      <c r="J141" s="409"/>
      <c r="K141" s="409"/>
      <c r="L141" s="409"/>
      <c r="M141" s="409"/>
      <c r="N141" s="409"/>
      <c r="O141" s="409"/>
      <c r="P141" s="409"/>
      <c r="Q141" s="409"/>
      <c r="R141" s="409"/>
      <c r="S141" s="409"/>
      <c r="T141" s="409"/>
      <c r="U141" s="409"/>
      <c r="V141" s="409"/>
      <c r="W141" s="409"/>
      <c r="X141" s="409"/>
    </row>
    <row r="142" ht="15.75" customHeight="1">
      <c r="A142" s="409"/>
      <c r="B142" s="409"/>
      <c r="C142" s="409"/>
      <c r="D142" s="409"/>
      <c r="E142" s="409"/>
      <c r="F142" s="409"/>
      <c r="G142" s="409"/>
      <c r="H142" s="409"/>
      <c r="I142" s="409"/>
      <c r="J142" s="409"/>
      <c r="K142" s="409"/>
      <c r="L142" s="409"/>
      <c r="M142" s="409"/>
      <c r="N142" s="409"/>
      <c r="O142" s="409"/>
      <c r="P142" s="409"/>
      <c r="Q142" s="409"/>
      <c r="R142" s="409"/>
      <c r="S142" s="409"/>
      <c r="T142" s="409"/>
      <c r="U142" s="409"/>
      <c r="V142" s="409"/>
      <c r="W142" s="409"/>
      <c r="X142" s="409"/>
    </row>
    <row r="143" ht="15.75" customHeight="1">
      <c r="A143" s="409"/>
      <c r="B143" s="409"/>
      <c r="C143" s="409"/>
      <c r="D143" s="409"/>
      <c r="E143" s="409"/>
      <c r="F143" s="409"/>
      <c r="G143" s="409"/>
      <c r="H143" s="409"/>
      <c r="I143" s="409"/>
      <c r="J143" s="409"/>
      <c r="K143" s="409"/>
      <c r="L143" s="409"/>
      <c r="M143" s="409"/>
      <c r="N143" s="409"/>
      <c r="O143" s="409"/>
      <c r="P143" s="409"/>
      <c r="Q143" s="409"/>
      <c r="R143" s="409"/>
      <c r="S143" s="409"/>
      <c r="T143" s="409"/>
      <c r="U143" s="409"/>
      <c r="V143" s="409"/>
      <c r="W143" s="409"/>
      <c r="X143" s="409"/>
    </row>
    <row r="144" ht="15.75" customHeight="1">
      <c r="A144" s="409"/>
      <c r="B144" s="409"/>
      <c r="C144" s="409"/>
      <c r="D144" s="409"/>
      <c r="E144" s="409"/>
      <c r="F144" s="409"/>
      <c r="G144" s="409"/>
      <c r="H144" s="409"/>
      <c r="I144" s="409"/>
      <c r="J144" s="409"/>
      <c r="K144" s="409"/>
      <c r="L144" s="409"/>
      <c r="M144" s="409"/>
      <c r="N144" s="409"/>
      <c r="O144" s="409"/>
      <c r="P144" s="409"/>
      <c r="Q144" s="409"/>
      <c r="R144" s="409"/>
      <c r="S144" s="409"/>
      <c r="T144" s="409"/>
      <c r="U144" s="409"/>
      <c r="V144" s="409"/>
      <c r="W144" s="409"/>
      <c r="X144" s="409"/>
    </row>
    <row r="145" ht="15.75" customHeight="1">
      <c r="A145" s="409"/>
      <c r="B145" s="409"/>
      <c r="C145" s="409"/>
      <c r="D145" s="409"/>
      <c r="E145" s="409"/>
      <c r="F145" s="409"/>
      <c r="G145" s="409"/>
      <c r="H145" s="409"/>
      <c r="I145" s="409"/>
      <c r="J145" s="409"/>
      <c r="K145" s="409"/>
      <c r="L145" s="409"/>
      <c r="M145" s="409"/>
      <c r="N145" s="409"/>
      <c r="O145" s="409"/>
      <c r="P145" s="409"/>
      <c r="Q145" s="409"/>
      <c r="R145" s="409"/>
      <c r="S145" s="409"/>
      <c r="T145" s="409"/>
      <c r="U145" s="409"/>
      <c r="V145" s="409"/>
      <c r="W145" s="409"/>
      <c r="X145" s="409"/>
    </row>
    <row r="146" ht="15.75" customHeight="1">
      <c r="A146" s="409"/>
      <c r="B146" s="409"/>
      <c r="C146" s="409"/>
      <c r="D146" s="409"/>
      <c r="E146" s="409"/>
      <c r="F146" s="409"/>
      <c r="G146" s="409"/>
      <c r="H146" s="409"/>
      <c r="I146" s="409"/>
      <c r="J146" s="409"/>
      <c r="K146" s="409"/>
      <c r="L146" s="409"/>
      <c r="M146" s="409"/>
      <c r="N146" s="409"/>
      <c r="O146" s="409"/>
      <c r="P146" s="409"/>
      <c r="Q146" s="409"/>
      <c r="R146" s="409"/>
      <c r="S146" s="409"/>
      <c r="T146" s="409"/>
      <c r="U146" s="409"/>
      <c r="V146" s="409"/>
      <c r="W146" s="409"/>
      <c r="X146" s="409"/>
    </row>
    <row r="147" ht="15.75" customHeight="1">
      <c r="A147" s="409"/>
      <c r="B147" s="409"/>
      <c r="C147" s="409"/>
      <c r="D147" s="409"/>
      <c r="E147" s="409"/>
      <c r="F147" s="409"/>
      <c r="G147" s="409"/>
      <c r="H147" s="409"/>
      <c r="I147" s="409"/>
      <c r="J147" s="409"/>
      <c r="K147" s="409"/>
      <c r="L147" s="409"/>
      <c r="M147" s="409"/>
      <c r="N147" s="409"/>
      <c r="O147" s="409"/>
      <c r="P147" s="409"/>
      <c r="Q147" s="409"/>
      <c r="R147" s="409"/>
      <c r="S147" s="409"/>
      <c r="T147" s="409"/>
      <c r="U147" s="409"/>
      <c r="V147" s="409"/>
      <c r="W147" s="409"/>
      <c r="X147" s="409"/>
    </row>
    <row r="148" ht="15.75" customHeight="1">
      <c r="A148" s="409"/>
      <c r="B148" s="409"/>
      <c r="C148" s="409"/>
      <c r="D148" s="409"/>
      <c r="E148" s="409"/>
      <c r="F148" s="409"/>
      <c r="G148" s="409"/>
      <c r="H148" s="409"/>
      <c r="I148" s="409"/>
      <c r="J148" s="409"/>
      <c r="K148" s="409"/>
      <c r="L148" s="409"/>
      <c r="M148" s="409"/>
      <c r="N148" s="409"/>
      <c r="O148" s="409"/>
      <c r="P148" s="409"/>
      <c r="Q148" s="409"/>
      <c r="R148" s="409"/>
      <c r="S148" s="409"/>
      <c r="T148" s="409"/>
      <c r="U148" s="409"/>
      <c r="V148" s="409"/>
      <c r="W148" s="409"/>
      <c r="X148" s="409"/>
    </row>
    <row r="149" ht="15.75" customHeight="1">
      <c r="A149" s="409"/>
      <c r="B149" s="409"/>
      <c r="C149" s="409"/>
      <c r="D149" s="409"/>
      <c r="E149" s="409"/>
      <c r="F149" s="409"/>
      <c r="G149" s="409"/>
      <c r="H149" s="409"/>
      <c r="I149" s="409"/>
      <c r="J149" s="409"/>
      <c r="K149" s="409"/>
      <c r="L149" s="409"/>
      <c r="M149" s="409"/>
      <c r="N149" s="409"/>
      <c r="O149" s="409"/>
      <c r="P149" s="409"/>
      <c r="Q149" s="409"/>
      <c r="R149" s="409"/>
      <c r="S149" s="409"/>
      <c r="T149" s="409"/>
      <c r="U149" s="409"/>
      <c r="V149" s="409"/>
      <c r="W149" s="409"/>
      <c r="X149" s="409"/>
    </row>
    <row r="150" ht="15.75" customHeight="1">
      <c r="A150" s="409"/>
      <c r="B150" s="409"/>
      <c r="C150" s="409"/>
      <c r="D150" s="409"/>
      <c r="E150" s="409"/>
      <c r="F150" s="409"/>
      <c r="G150" s="409"/>
      <c r="H150" s="409"/>
      <c r="I150" s="409"/>
      <c r="J150" s="409"/>
      <c r="K150" s="409"/>
      <c r="L150" s="409"/>
      <c r="M150" s="409"/>
      <c r="N150" s="409"/>
      <c r="O150" s="409"/>
      <c r="P150" s="409"/>
      <c r="Q150" s="409"/>
      <c r="R150" s="409"/>
      <c r="S150" s="409"/>
      <c r="T150" s="409"/>
      <c r="U150" s="409"/>
      <c r="V150" s="409"/>
      <c r="W150" s="409"/>
      <c r="X150" s="409"/>
    </row>
    <row r="151" ht="15.75" customHeight="1">
      <c r="A151" s="409"/>
      <c r="B151" s="409"/>
      <c r="C151" s="409"/>
      <c r="D151" s="409"/>
      <c r="E151" s="409"/>
      <c r="F151" s="409"/>
      <c r="G151" s="409"/>
      <c r="H151" s="409"/>
      <c r="I151" s="409"/>
      <c r="J151" s="409"/>
      <c r="K151" s="409"/>
      <c r="L151" s="409"/>
      <c r="M151" s="409"/>
      <c r="N151" s="409"/>
      <c r="O151" s="409"/>
      <c r="P151" s="409"/>
      <c r="Q151" s="409"/>
      <c r="R151" s="409"/>
      <c r="S151" s="409"/>
      <c r="T151" s="409"/>
      <c r="U151" s="409"/>
      <c r="V151" s="409"/>
      <c r="W151" s="409"/>
      <c r="X151" s="409"/>
    </row>
    <row r="152" ht="15.75" customHeight="1">
      <c r="A152" s="409"/>
      <c r="B152" s="409"/>
      <c r="C152" s="409"/>
      <c r="D152" s="409"/>
      <c r="E152" s="409"/>
      <c r="F152" s="409"/>
      <c r="G152" s="409"/>
      <c r="H152" s="409"/>
      <c r="I152" s="409"/>
      <c r="J152" s="409"/>
      <c r="K152" s="409"/>
      <c r="L152" s="409"/>
      <c r="M152" s="409"/>
      <c r="N152" s="409"/>
      <c r="O152" s="409"/>
      <c r="P152" s="409"/>
      <c r="Q152" s="409"/>
      <c r="R152" s="409"/>
      <c r="S152" s="409"/>
      <c r="T152" s="409"/>
      <c r="U152" s="409"/>
      <c r="V152" s="409"/>
      <c r="W152" s="409"/>
      <c r="X152" s="409"/>
    </row>
    <row r="153" ht="15.75" customHeight="1">
      <c r="A153" s="409"/>
      <c r="B153" s="409"/>
      <c r="C153" s="409"/>
      <c r="D153" s="409"/>
      <c r="E153" s="409"/>
      <c r="F153" s="409"/>
      <c r="G153" s="409"/>
      <c r="H153" s="409"/>
      <c r="I153" s="409"/>
      <c r="J153" s="409"/>
      <c r="K153" s="409"/>
      <c r="L153" s="409"/>
      <c r="M153" s="409"/>
      <c r="N153" s="409"/>
      <c r="O153" s="409"/>
      <c r="P153" s="409"/>
      <c r="Q153" s="409"/>
      <c r="R153" s="409"/>
      <c r="S153" s="409"/>
      <c r="T153" s="409"/>
      <c r="U153" s="409"/>
      <c r="V153" s="409"/>
      <c r="W153" s="409"/>
      <c r="X153" s="409"/>
    </row>
    <row r="154" ht="15.75" customHeight="1">
      <c r="A154" s="409"/>
      <c r="B154" s="409"/>
      <c r="C154" s="409"/>
      <c r="D154" s="409"/>
      <c r="E154" s="409"/>
      <c r="F154" s="409"/>
      <c r="G154" s="409"/>
      <c r="H154" s="409"/>
      <c r="I154" s="409"/>
      <c r="J154" s="409"/>
      <c r="K154" s="409"/>
      <c r="L154" s="409"/>
      <c r="M154" s="409"/>
      <c r="N154" s="409"/>
      <c r="O154" s="409"/>
      <c r="P154" s="409"/>
      <c r="Q154" s="409"/>
      <c r="R154" s="409"/>
      <c r="S154" s="409"/>
      <c r="T154" s="409"/>
      <c r="U154" s="409"/>
      <c r="V154" s="409"/>
      <c r="W154" s="409"/>
      <c r="X154" s="409"/>
    </row>
    <row r="155" ht="15.75" customHeight="1">
      <c r="A155" s="409"/>
      <c r="B155" s="409"/>
      <c r="C155" s="409"/>
      <c r="D155" s="409"/>
      <c r="E155" s="409"/>
      <c r="F155" s="409"/>
      <c r="G155" s="409"/>
      <c r="H155" s="409"/>
      <c r="I155" s="409"/>
      <c r="J155" s="409"/>
      <c r="K155" s="409"/>
      <c r="L155" s="409"/>
      <c r="M155" s="409"/>
      <c r="N155" s="409"/>
      <c r="O155" s="409"/>
      <c r="P155" s="409"/>
      <c r="Q155" s="409"/>
      <c r="R155" s="409"/>
      <c r="S155" s="409"/>
      <c r="T155" s="409"/>
      <c r="U155" s="409"/>
      <c r="V155" s="409"/>
      <c r="W155" s="409"/>
      <c r="X155" s="409"/>
    </row>
    <row r="156" ht="15.75" customHeight="1">
      <c r="A156" s="409"/>
      <c r="B156" s="409"/>
      <c r="C156" s="409"/>
      <c r="D156" s="409"/>
      <c r="E156" s="409"/>
      <c r="F156" s="409"/>
      <c r="G156" s="409"/>
      <c r="H156" s="409"/>
      <c r="I156" s="409"/>
      <c r="J156" s="409"/>
      <c r="K156" s="409"/>
      <c r="L156" s="409"/>
      <c r="M156" s="409"/>
      <c r="N156" s="409"/>
      <c r="O156" s="409"/>
      <c r="P156" s="409"/>
      <c r="Q156" s="409"/>
      <c r="R156" s="409"/>
      <c r="S156" s="409"/>
      <c r="T156" s="409"/>
      <c r="U156" s="409"/>
      <c r="V156" s="409"/>
      <c r="W156" s="409"/>
      <c r="X156" s="409"/>
    </row>
    <row r="157" ht="15.75" customHeight="1">
      <c r="A157" s="409"/>
      <c r="B157" s="409"/>
      <c r="C157" s="409"/>
      <c r="D157" s="409"/>
      <c r="E157" s="409"/>
      <c r="F157" s="409"/>
      <c r="G157" s="409"/>
      <c r="H157" s="409"/>
      <c r="I157" s="409"/>
      <c r="J157" s="409"/>
      <c r="K157" s="409"/>
      <c r="L157" s="409"/>
      <c r="M157" s="409"/>
      <c r="N157" s="409"/>
      <c r="O157" s="409"/>
      <c r="P157" s="409"/>
      <c r="Q157" s="409"/>
      <c r="R157" s="409"/>
      <c r="S157" s="409"/>
      <c r="T157" s="409"/>
      <c r="U157" s="409"/>
      <c r="V157" s="409"/>
      <c r="W157" s="409"/>
      <c r="X157" s="409"/>
    </row>
    <row r="158" ht="15.75" customHeight="1">
      <c r="A158" s="409"/>
      <c r="B158" s="409"/>
      <c r="C158" s="409"/>
      <c r="D158" s="409"/>
      <c r="E158" s="409"/>
      <c r="F158" s="409"/>
      <c r="G158" s="409"/>
      <c r="H158" s="409"/>
      <c r="I158" s="409"/>
      <c r="J158" s="409"/>
      <c r="K158" s="409"/>
      <c r="L158" s="409"/>
      <c r="M158" s="409"/>
      <c r="N158" s="409"/>
      <c r="O158" s="409"/>
      <c r="P158" s="409"/>
      <c r="Q158" s="409"/>
      <c r="R158" s="409"/>
      <c r="S158" s="409"/>
      <c r="T158" s="409"/>
      <c r="U158" s="409"/>
      <c r="V158" s="409"/>
      <c r="W158" s="409"/>
      <c r="X158" s="409"/>
    </row>
    <row r="159" ht="15.75" customHeight="1">
      <c r="A159" s="409"/>
      <c r="B159" s="409"/>
      <c r="C159" s="409"/>
      <c r="D159" s="409"/>
      <c r="E159" s="409"/>
      <c r="F159" s="409"/>
      <c r="G159" s="409"/>
      <c r="H159" s="409"/>
      <c r="I159" s="409"/>
      <c r="J159" s="409"/>
      <c r="K159" s="409"/>
      <c r="L159" s="409"/>
      <c r="M159" s="409"/>
      <c r="N159" s="409"/>
      <c r="O159" s="409"/>
      <c r="P159" s="409"/>
      <c r="Q159" s="409"/>
      <c r="R159" s="409"/>
      <c r="S159" s="409"/>
      <c r="T159" s="409"/>
      <c r="U159" s="409"/>
      <c r="V159" s="409"/>
      <c r="W159" s="409"/>
      <c r="X159" s="409"/>
    </row>
    <row r="160" ht="15.75" customHeight="1">
      <c r="A160" s="409"/>
      <c r="B160" s="409"/>
      <c r="C160" s="409"/>
      <c r="D160" s="409"/>
      <c r="E160" s="409"/>
      <c r="F160" s="409"/>
      <c r="G160" s="409"/>
      <c r="H160" s="409"/>
      <c r="I160" s="409"/>
      <c r="J160" s="409"/>
      <c r="K160" s="409"/>
      <c r="L160" s="409"/>
      <c r="M160" s="409"/>
      <c r="N160" s="409"/>
      <c r="O160" s="409"/>
      <c r="P160" s="409"/>
      <c r="Q160" s="409"/>
      <c r="R160" s="409"/>
      <c r="S160" s="409"/>
      <c r="T160" s="409"/>
      <c r="U160" s="409"/>
      <c r="V160" s="409"/>
      <c r="W160" s="409"/>
      <c r="X160" s="409"/>
    </row>
    <row r="161" ht="15.75" customHeight="1">
      <c r="A161" s="409"/>
      <c r="B161" s="409"/>
      <c r="C161" s="409"/>
      <c r="D161" s="409"/>
      <c r="E161" s="409"/>
      <c r="F161" s="409"/>
      <c r="G161" s="409"/>
      <c r="H161" s="409"/>
      <c r="I161" s="409"/>
      <c r="J161" s="409"/>
      <c r="K161" s="409"/>
      <c r="L161" s="409"/>
      <c r="M161" s="409"/>
      <c r="N161" s="409"/>
      <c r="O161" s="409"/>
      <c r="P161" s="409"/>
      <c r="Q161" s="409"/>
      <c r="R161" s="409"/>
      <c r="S161" s="409"/>
      <c r="T161" s="409"/>
      <c r="U161" s="409"/>
      <c r="V161" s="409"/>
      <c r="W161" s="409"/>
      <c r="X161" s="409"/>
    </row>
    <row r="162" ht="15.75" customHeight="1">
      <c r="A162" s="409"/>
      <c r="B162" s="409"/>
      <c r="C162" s="409"/>
      <c r="D162" s="409"/>
      <c r="E162" s="409"/>
      <c r="F162" s="409"/>
      <c r="G162" s="409"/>
      <c r="H162" s="409"/>
      <c r="I162" s="409"/>
      <c r="J162" s="409"/>
      <c r="K162" s="409"/>
      <c r="L162" s="409"/>
      <c r="M162" s="409"/>
      <c r="N162" s="409"/>
      <c r="O162" s="409"/>
      <c r="P162" s="409"/>
      <c r="Q162" s="409"/>
      <c r="R162" s="409"/>
      <c r="S162" s="409"/>
      <c r="T162" s="409"/>
      <c r="U162" s="409"/>
      <c r="V162" s="409"/>
      <c r="W162" s="409"/>
      <c r="X162" s="409"/>
    </row>
    <row r="163" ht="15.75" customHeight="1">
      <c r="A163" s="409"/>
      <c r="B163" s="409"/>
      <c r="C163" s="409"/>
      <c r="D163" s="409"/>
      <c r="E163" s="409"/>
      <c r="F163" s="409"/>
      <c r="G163" s="409"/>
      <c r="H163" s="409"/>
      <c r="I163" s="409"/>
      <c r="J163" s="409"/>
      <c r="K163" s="409"/>
      <c r="L163" s="409"/>
      <c r="M163" s="409"/>
      <c r="N163" s="409"/>
      <c r="O163" s="409"/>
      <c r="P163" s="409"/>
      <c r="Q163" s="409"/>
      <c r="R163" s="409"/>
      <c r="S163" s="409"/>
      <c r="T163" s="409"/>
      <c r="U163" s="409"/>
      <c r="V163" s="409"/>
      <c r="W163" s="409"/>
      <c r="X163" s="409"/>
    </row>
    <row r="164" ht="15.75" customHeight="1">
      <c r="A164" s="409"/>
      <c r="B164" s="409"/>
      <c r="C164" s="409"/>
      <c r="D164" s="409"/>
      <c r="E164" s="409"/>
      <c r="F164" s="409"/>
      <c r="G164" s="409"/>
      <c r="H164" s="409"/>
      <c r="I164" s="409"/>
      <c r="J164" s="409"/>
      <c r="K164" s="409"/>
      <c r="L164" s="409"/>
      <c r="M164" s="409"/>
      <c r="N164" s="409"/>
      <c r="O164" s="409"/>
      <c r="P164" s="409"/>
      <c r="Q164" s="409"/>
      <c r="R164" s="409"/>
      <c r="S164" s="409"/>
      <c r="T164" s="409"/>
      <c r="U164" s="409"/>
      <c r="V164" s="409"/>
      <c r="W164" s="409"/>
      <c r="X164" s="409"/>
    </row>
    <row r="165" ht="15.75" customHeight="1">
      <c r="A165" s="409"/>
      <c r="B165" s="409"/>
      <c r="C165" s="409"/>
      <c r="D165" s="409"/>
      <c r="E165" s="409"/>
      <c r="F165" s="409"/>
      <c r="G165" s="409"/>
      <c r="H165" s="409"/>
      <c r="I165" s="409"/>
      <c r="J165" s="409"/>
      <c r="K165" s="409"/>
      <c r="L165" s="409"/>
      <c r="M165" s="409"/>
      <c r="N165" s="409"/>
      <c r="O165" s="409"/>
      <c r="P165" s="409"/>
      <c r="Q165" s="409"/>
      <c r="R165" s="409"/>
      <c r="S165" s="409"/>
      <c r="T165" s="409"/>
      <c r="U165" s="409"/>
      <c r="V165" s="409"/>
      <c r="W165" s="409"/>
      <c r="X165" s="409"/>
    </row>
    <row r="166" ht="15.75" customHeight="1">
      <c r="A166" s="409"/>
      <c r="B166" s="409"/>
      <c r="C166" s="409"/>
      <c r="D166" s="409"/>
      <c r="E166" s="409"/>
      <c r="F166" s="409"/>
      <c r="G166" s="409"/>
      <c r="H166" s="409"/>
      <c r="I166" s="409"/>
      <c r="J166" s="409"/>
      <c r="K166" s="409"/>
      <c r="L166" s="409"/>
      <c r="M166" s="409"/>
      <c r="N166" s="409"/>
      <c r="O166" s="409"/>
      <c r="P166" s="409"/>
      <c r="Q166" s="409"/>
      <c r="R166" s="409"/>
      <c r="S166" s="409"/>
      <c r="T166" s="409"/>
      <c r="U166" s="409"/>
      <c r="V166" s="409"/>
      <c r="W166" s="409"/>
      <c r="X166" s="409"/>
    </row>
    <row r="167" ht="15.75" customHeight="1">
      <c r="A167" s="409"/>
      <c r="B167" s="409"/>
      <c r="C167" s="409"/>
      <c r="D167" s="409"/>
      <c r="E167" s="409"/>
      <c r="F167" s="409"/>
      <c r="G167" s="409"/>
      <c r="H167" s="409"/>
      <c r="I167" s="409"/>
      <c r="J167" s="409"/>
      <c r="K167" s="409"/>
      <c r="L167" s="409"/>
      <c r="M167" s="409"/>
      <c r="N167" s="409"/>
      <c r="O167" s="409"/>
      <c r="P167" s="409"/>
      <c r="Q167" s="409"/>
      <c r="R167" s="409"/>
      <c r="S167" s="409"/>
      <c r="T167" s="409"/>
      <c r="U167" s="409"/>
      <c r="V167" s="409"/>
      <c r="W167" s="409"/>
      <c r="X167" s="409"/>
    </row>
    <row r="168" ht="15.75" customHeight="1">
      <c r="A168" s="409"/>
      <c r="B168" s="409"/>
      <c r="C168" s="409"/>
      <c r="D168" s="409"/>
      <c r="E168" s="409"/>
      <c r="F168" s="409"/>
      <c r="G168" s="409"/>
      <c r="H168" s="409"/>
      <c r="I168" s="409"/>
      <c r="J168" s="409"/>
      <c r="K168" s="409"/>
      <c r="L168" s="409"/>
      <c r="M168" s="409"/>
      <c r="N168" s="409"/>
      <c r="O168" s="409"/>
      <c r="P168" s="409"/>
      <c r="Q168" s="409"/>
      <c r="R168" s="409"/>
      <c r="S168" s="409"/>
      <c r="T168" s="409"/>
      <c r="U168" s="409"/>
      <c r="V168" s="409"/>
      <c r="W168" s="409"/>
      <c r="X168" s="409"/>
    </row>
    <row r="169" ht="15.75" customHeight="1">
      <c r="A169" s="409"/>
      <c r="B169" s="409"/>
      <c r="C169" s="409"/>
      <c r="D169" s="409"/>
      <c r="E169" s="409"/>
      <c r="F169" s="409"/>
      <c r="G169" s="409"/>
      <c r="H169" s="409"/>
      <c r="I169" s="409"/>
      <c r="J169" s="409"/>
      <c r="K169" s="409"/>
      <c r="L169" s="409"/>
      <c r="M169" s="409"/>
      <c r="N169" s="409"/>
      <c r="O169" s="409"/>
      <c r="P169" s="409"/>
      <c r="Q169" s="409"/>
      <c r="R169" s="409"/>
      <c r="S169" s="409"/>
      <c r="T169" s="409"/>
      <c r="U169" s="409"/>
      <c r="V169" s="409"/>
      <c r="W169" s="409"/>
      <c r="X169" s="409"/>
    </row>
    <row r="170" ht="15.75" customHeight="1">
      <c r="A170" s="409"/>
      <c r="B170" s="409"/>
      <c r="C170" s="409"/>
      <c r="D170" s="409"/>
      <c r="E170" s="409"/>
      <c r="F170" s="409"/>
      <c r="G170" s="409"/>
      <c r="H170" s="409"/>
      <c r="I170" s="409"/>
      <c r="J170" s="409"/>
      <c r="K170" s="409"/>
      <c r="L170" s="409"/>
      <c r="M170" s="409"/>
      <c r="N170" s="409"/>
      <c r="O170" s="409"/>
      <c r="P170" s="409"/>
      <c r="Q170" s="409"/>
      <c r="R170" s="409"/>
      <c r="S170" s="409"/>
      <c r="T170" s="409"/>
      <c r="U170" s="409"/>
      <c r="V170" s="409"/>
      <c r="W170" s="409"/>
      <c r="X170" s="409"/>
    </row>
    <row r="171" ht="15.75" customHeight="1">
      <c r="A171" s="409"/>
      <c r="B171" s="409"/>
      <c r="C171" s="409"/>
      <c r="D171" s="409"/>
      <c r="E171" s="409"/>
      <c r="F171" s="409"/>
      <c r="G171" s="409"/>
      <c r="H171" s="409"/>
      <c r="I171" s="409"/>
      <c r="J171" s="409"/>
      <c r="K171" s="409"/>
      <c r="L171" s="409"/>
      <c r="M171" s="409"/>
      <c r="N171" s="409"/>
      <c r="O171" s="409"/>
      <c r="P171" s="409"/>
      <c r="Q171" s="409"/>
      <c r="R171" s="409"/>
      <c r="S171" s="409"/>
      <c r="T171" s="409"/>
      <c r="U171" s="409"/>
      <c r="V171" s="409"/>
      <c r="W171" s="409"/>
      <c r="X171" s="409"/>
    </row>
    <row r="172" ht="15.75" customHeight="1">
      <c r="A172" s="409"/>
      <c r="B172" s="409"/>
      <c r="C172" s="409"/>
      <c r="D172" s="409"/>
      <c r="E172" s="409"/>
      <c r="F172" s="409"/>
      <c r="G172" s="409"/>
      <c r="H172" s="409"/>
      <c r="I172" s="409"/>
      <c r="J172" s="409"/>
      <c r="K172" s="409"/>
      <c r="L172" s="409"/>
      <c r="M172" s="409"/>
      <c r="N172" s="409"/>
      <c r="O172" s="409"/>
      <c r="P172" s="409"/>
      <c r="Q172" s="409"/>
      <c r="R172" s="409"/>
      <c r="S172" s="409"/>
      <c r="T172" s="409"/>
      <c r="U172" s="409"/>
      <c r="V172" s="409"/>
      <c r="W172" s="409"/>
      <c r="X172" s="409"/>
    </row>
    <row r="173" ht="15.75" customHeight="1">
      <c r="A173" s="409"/>
      <c r="B173" s="409"/>
      <c r="C173" s="409"/>
      <c r="D173" s="409"/>
      <c r="E173" s="409"/>
      <c r="F173" s="409"/>
      <c r="G173" s="409"/>
      <c r="H173" s="409"/>
      <c r="I173" s="409"/>
      <c r="J173" s="409"/>
      <c r="K173" s="409"/>
      <c r="L173" s="409"/>
      <c r="M173" s="409"/>
      <c r="N173" s="409"/>
      <c r="O173" s="409"/>
      <c r="P173" s="409"/>
      <c r="Q173" s="409"/>
      <c r="R173" s="409"/>
      <c r="S173" s="409"/>
      <c r="T173" s="409"/>
      <c r="U173" s="409"/>
      <c r="V173" s="409"/>
      <c r="W173" s="409"/>
      <c r="X173" s="409"/>
    </row>
    <row r="174" ht="15.75" customHeight="1">
      <c r="A174" s="409"/>
      <c r="B174" s="409"/>
      <c r="C174" s="409"/>
      <c r="D174" s="409"/>
      <c r="E174" s="409"/>
      <c r="F174" s="409"/>
      <c r="G174" s="409"/>
      <c r="H174" s="409"/>
      <c r="I174" s="409"/>
      <c r="J174" s="409"/>
      <c r="K174" s="409"/>
      <c r="L174" s="409"/>
      <c r="M174" s="409"/>
      <c r="N174" s="409"/>
      <c r="O174" s="409"/>
      <c r="P174" s="409"/>
      <c r="Q174" s="409"/>
      <c r="R174" s="409"/>
      <c r="S174" s="409"/>
      <c r="T174" s="409"/>
      <c r="U174" s="409"/>
      <c r="V174" s="409"/>
      <c r="W174" s="409"/>
      <c r="X174" s="409"/>
    </row>
    <row r="175" ht="15.75" customHeight="1">
      <c r="A175" s="409"/>
      <c r="B175" s="409"/>
      <c r="C175" s="409"/>
      <c r="D175" s="409"/>
      <c r="E175" s="409"/>
      <c r="F175" s="409"/>
      <c r="G175" s="409"/>
      <c r="H175" s="409"/>
      <c r="I175" s="409"/>
      <c r="J175" s="409"/>
      <c r="K175" s="409"/>
      <c r="L175" s="409"/>
      <c r="M175" s="409"/>
      <c r="N175" s="409"/>
      <c r="O175" s="409"/>
      <c r="P175" s="409"/>
      <c r="Q175" s="409"/>
      <c r="R175" s="409"/>
      <c r="S175" s="409"/>
      <c r="T175" s="409"/>
      <c r="U175" s="409"/>
      <c r="V175" s="409"/>
      <c r="W175" s="409"/>
      <c r="X175" s="409"/>
    </row>
    <row r="176" ht="15.75" customHeight="1">
      <c r="A176" s="409"/>
      <c r="B176" s="409"/>
      <c r="C176" s="409"/>
      <c r="D176" s="409"/>
      <c r="E176" s="409"/>
      <c r="F176" s="409"/>
      <c r="G176" s="409"/>
      <c r="H176" s="409"/>
      <c r="I176" s="409"/>
      <c r="J176" s="409"/>
      <c r="K176" s="409"/>
      <c r="L176" s="409"/>
      <c r="M176" s="409"/>
      <c r="N176" s="409"/>
      <c r="O176" s="409"/>
      <c r="P176" s="409"/>
      <c r="Q176" s="409"/>
      <c r="R176" s="409"/>
      <c r="S176" s="409"/>
      <c r="T176" s="409"/>
      <c r="U176" s="409"/>
      <c r="V176" s="409"/>
      <c r="W176" s="409"/>
      <c r="X176" s="409"/>
    </row>
    <row r="177" ht="15.75" customHeight="1">
      <c r="A177" s="409"/>
      <c r="B177" s="409"/>
      <c r="C177" s="409"/>
      <c r="D177" s="409"/>
      <c r="E177" s="409"/>
      <c r="F177" s="409"/>
      <c r="G177" s="409"/>
      <c r="H177" s="409"/>
      <c r="I177" s="409"/>
      <c r="J177" s="409"/>
      <c r="K177" s="409"/>
      <c r="L177" s="409"/>
      <c r="M177" s="409"/>
      <c r="N177" s="409"/>
      <c r="O177" s="409"/>
      <c r="P177" s="409"/>
      <c r="Q177" s="409"/>
      <c r="R177" s="409"/>
      <c r="S177" s="409"/>
      <c r="T177" s="409"/>
      <c r="U177" s="409"/>
      <c r="V177" s="409"/>
      <c r="W177" s="409"/>
      <c r="X177" s="409"/>
    </row>
    <row r="178" ht="15.75" customHeight="1">
      <c r="A178" s="409"/>
      <c r="B178" s="409"/>
      <c r="C178" s="409"/>
      <c r="D178" s="409"/>
      <c r="E178" s="409"/>
      <c r="F178" s="409"/>
      <c r="G178" s="409"/>
      <c r="H178" s="409"/>
      <c r="I178" s="409"/>
      <c r="J178" s="409"/>
      <c r="K178" s="409"/>
      <c r="L178" s="409"/>
      <c r="M178" s="409"/>
      <c r="N178" s="409"/>
      <c r="O178" s="409"/>
      <c r="P178" s="409"/>
      <c r="Q178" s="409"/>
      <c r="R178" s="409"/>
      <c r="S178" s="409"/>
      <c r="T178" s="409"/>
      <c r="U178" s="409"/>
      <c r="V178" s="409"/>
      <c r="W178" s="409"/>
      <c r="X178" s="409"/>
    </row>
    <row r="179" ht="15.75" customHeight="1">
      <c r="A179" s="409"/>
      <c r="B179" s="409"/>
      <c r="C179" s="409"/>
      <c r="D179" s="409"/>
      <c r="E179" s="409"/>
      <c r="F179" s="409"/>
      <c r="G179" s="409"/>
      <c r="H179" s="409"/>
      <c r="I179" s="409"/>
      <c r="J179" s="409"/>
      <c r="K179" s="409"/>
      <c r="L179" s="409"/>
      <c r="M179" s="409"/>
      <c r="N179" s="409"/>
      <c r="O179" s="409"/>
      <c r="P179" s="409"/>
      <c r="Q179" s="409"/>
      <c r="R179" s="409"/>
      <c r="S179" s="409"/>
      <c r="T179" s="409"/>
      <c r="U179" s="409"/>
      <c r="V179" s="409"/>
      <c r="W179" s="409"/>
      <c r="X179" s="409"/>
    </row>
    <row r="180" ht="15.75" customHeight="1">
      <c r="A180" s="409"/>
      <c r="B180" s="409"/>
      <c r="C180" s="409"/>
      <c r="D180" s="409"/>
      <c r="E180" s="409"/>
      <c r="F180" s="409"/>
      <c r="G180" s="409"/>
      <c r="H180" s="409"/>
      <c r="I180" s="409"/>
      <c r="J180" s="409"/>
      <c r="K180" s="409"/>
      <c r="L180" s="409"/>
      <c r="M180" s="409"/>
      <c r="N180" s="409"/>
      <c r="O180" s="409"/>
      <c r="P180" s="409"/>
      <c r="Q180" s="409"/>
      <c r="R180" s="409"/>
      <c r="S180" s="409"/>
      <c r="T180" s="409"/>
      <c r="U180" s="409"/>
      <c r="V180" s="409"/>
      <c r="W180" s="409"/>
      <c r="X180" s="409"/>
    </row>
    <row r="181" ht="15.75" customHeight="1">
      <c r="A181" s="409"/>
      <c r="B181" s="409"/>
      <c r="C181" s="409"/>
      <c r="D181" s="409"/>
      <c r="E181" s="409"/>
      <c r="F181" s="409"/>
      <c r="G181" s="409"/>
      <c r="H181" s="409"/>
      <c r="I181" s="409"/>
      <c r="J181" s="409"/>
      <c r="K181" s="409"/>
      <c r="L181" s="409"/>
      <c r="M181" s="409"/>
      <c r="N181" s="409"/>
      <c r="O181" s="409"/>
      <c r="P181" s="409"/>
      <c r="Q181" s="409"/>
      <c r="R181" s="409"/>
      <c r="S181" s="409"/>
      <c r="T181" s="409"/>
      <c r="U181" s="409"/>
      <c r="V181" s="409"/>
      <c r="W181" s="409"/>
      <c r="X181" s="409"/>
    </row>
    <row r="182" ht="15.75" customHeight="1">
      <c r="A182" s="409"/>
      <c r="B182" s="409"/>
      <c r="C182" s="409"/>
      <c r="D182" s="409"/>
      <c r="E182" s="409"/>
      <c r="F182" s="409"/>
      <c r="G182" s="409"/>
      <c r="H182" s="409"/>
      <c r="I182" s="409"/>
      <c r="J182" s="409"/>
      <c r="K182" s="409"/>
      <c r="L182" s="409"/>
      <c r="M182" s="409"/>
      <c r="N182" s="409"/>
      <c r="O182" s="409"/>
      <c r="P182" s="409"/>
      <c r="Q182" s="409"/>
      <c r="R182" s="409"/>
      <c r="S182" s="409"/>
      <c r="T182" s="409"/>
      <c r="U182" s="409"/>
      <c r="V182" s="409"/>
      <c r="W182" s="409"/>
      <c r="X182" s="409"/>
    </row>
    <row r="183" ht="15.75" customHeight="1">
      <c r="A183" s="409"/>
      <c r="B183" s="409"/>
      <c r="C183" s="409"/>
      <c r="D183" s="409"/>
      <c r="E183" s="409"/>
      <c r="F183" s="409"/>
      <c r="G183" s="409"/>
      <c r="H183" s="409"/>
      <c r="I183" s="409"/>
      <c r="J183" s="409"/>
      <c r="K183" s="409"/>
      <c r="L183" s="409"/>
      <c r="M183" s="409"/>
      <c r="N183" s="409"/>
      <c r="O183" s="409"/>
      <c r="P183" s="409"/>
      <c r="Q183" s="409"/>
      <c r="R183" s="409"/>
      <c r="S183" s="409"/>
      <c r="T183" s="409"/>
      <c r="U183" s="409"/>
      <c r="V183" s="409"/>
      <c r="W183" s="409"/>
      <c r="X183" s="409"/>
    </row>
    <row r="184" ht="15.75" customHeight="1">
      <c r="A184" s="409"/>
      <c r="B184" s="409"/>
      <c r="C184" s="409"/>
      <c r="D184" s="409"/>
      <c r="E184" s="409"/>
      <c r="F184" s="409"/>
      <c r="G184" s="409"/>
      <c r="H184" s="409"/>
      <c r="I184" s="409"/>
      <c r="J184" s="409"/>
      <c r="K184" s="409"/>
      <c r="L184" s="409"/>
      <c r="M184" s="409"/>
      <c r="N184" s="409"/>
      <c r="O184" s="409"/>
      <c r="P184" s="409"/>
      <c r="Q184" s="409"/>
      <c r="R184" s="409"/>
      <c r="S184" s="409"/>
      <c r="T184" s="409"/>
      <c r="U184" s="409"/>
      <c r="V184" s="409"/>
      <c r="W184" s="409"/>
      <c r="X184" s="409"/>
    </row>
    <row r="185" ht="15.75" customHeight="1">
      <c r="A185" s="409"/>
      <c r="B185" s="409"/>
      <c r="C185" s="409"/>
      <c r="D185" s="409"/>
      <c r="E185" s="409"/>
      <c r="F185" s="409"/>
      <c r="G185" s="409"/>
      <c r="H185" s="409"/>
      <c r="I185" s="409"/>
      <c r="J185" s="409"/>
      <c r="K185" s="409"/>
      <c r="L185" s="409"/>
      <c r="M185" s="409"/>
      <c r="N185" s="409"/>
      <c r="O185" s="409"/>
      <c r="P185" s="409"/>
      <c r="Q185" s="409"/>
      <c r="R185" s="409"/>
      <c r="S185" s="409"/>
      <c r="T185" s="409"/>
      <c r="U185" s="409"/>
      <c r="V185" s="409"/>
      <c r="W185" s="409"/>
      <c r="X185" s="409"/>
    </row>
    <row r="186" ht="15.75" customHeight="1">
      <c r="A186" s="409"/>
      <c r="B186" s="409"/>
      <c r="C186" s="409"/>
      <c r="D186" s="409"/>
      <c r="E186" s="409"/>
      <c r="F186" s="409"/>
      <c r="G186" s="409"/>
      <c r="H186" s="409"/>
      <c r="I186" s="409"/>
      <c r="J186" s="409"/>
      <c r="K186" s="409"/>
      <c r="L186" s="409"/>
      <c r="M186" s="409"/>
      <c r="N186" s="409"/>
      <c r="O186" s="409"/>
      <c r="P186" s="409"/>
      <c r="Q186" s="409"/>
      <c r="R186" s="409"/>
      <c r="S186" s="409"/>
      <c r="T186" s="409"/>
      <c r="U186" s="409"/>
      <c r="V186" s="409"/>
      <c r="W186" s="409"/>
      <c r="X186" s="409"/>
    </row>
    <row r="187" ht="15.75" customHeight="1">
      <c r="A187" s="409"/>
      <c r="B187" s="409"/>
      <c r="C187" s="409"/>
      <c r="D187" s="409"/>
      <c r="E187" s="409"/>
      <c r="F187" s="409"/>
      <c r="G187" s="409"/>
      <c r="H187" s="409"/>
      <c r="I187" s="409"/>
      <c r="J187" s="409"/>
      <c r="K187" s="409"/>
      <c r="L187" s="409"/>
      <c r="M187" s="409"/>
      <c r="N187" s="409"/>
      <c r="O187" s="409"/>
      <c r="P187" s="409"/>
      <c r="Q187" s="409"/>
      <c r="R187" s="409"/>
      <c r="S187" s="409"/>
      <c r="T187" s="409"/>
      <c r="U187" s="409"/>
      <c r="V187" s="409"/>
      <c r="W187" s="409"/>
      <c r="X187" s="409"/>
    </row>
    <row r="188" ht="15.75" customHeight="1">
      <c r="A188" s="409"/>
      <c r="B188" s="409"/>
      <c r="C188" s="409"/>
      <c r="D188" s="409"/>
      <c r="E188" s="409"/>
      <c r="F188" s="409"/>
      <c r="G188" s="409"/>
      <c r="H188" s="409"/>
      <c r="I188" s="409"/>
      <c r="J188" s="409"/>
      <c r="K188" s="409"/>
      <c r="L188" s="409"/>
      <c r="M188" s="409"/>
      <c r="N188" s="409"/>
      <c r="O188" s="409"/>
      <c r="P188" s="409"/>
      <c r="Q188" s="409"/>
      <c r="R188" s="409"/>
      <c r="S188" s="409"/>
      <c r="T188" s="409"/>
      <c r="U188" s="409"/>
      <c r="V188" s="409"/>
      <c r="W188" s="409"/>
      <c r="X188" s="409"/>
    </row>
    <row r="189" ht="15.75" customHeight="1">
      <c r="A189" s="409"/>
      <c r="B189" s="409"/>
      <c r="C189" s="409"/>
      <c r="D189" s="409"/>
      <c r="E189" s="409"/>
      <c r="F189" s="409"/>
      <c r="G189" s="409"/>
      <c r="H189" s="409"/>
      <c r="I189" s="409"/>
      <c r="J189" s="409"/>
      <c r="K189" s="409"/>
      <c r="L189" s="409"/>
      <c r="M189" s="409"/>
      <c r="N189" s="409"/>
      <c r="O189" s="409"/>
      <c r="P189" s="409"/>
      <c r="Q189" s="409"/>
      <c r="R189" s="409"/>
      <c r="S189" s="409"/>
      <c r="T189" s="409"/>
      <c r="U189" s="409"/>
      <c r="V189" s="409"/>
      <c r="W189" s="409"/>
      <c r="X189" s="409"/>
    </row>
    <row r="190" ht="15.75" customHeight="1">
      <c r="A190" s="409"/>
      <c r="B190" s="409"/>
      <c r="C190" s="409"/>
      <c r="D190" s="409"/>
      <c r="E190" s="409"/>
      <c r="F190" s="409"/>
      <c r="G190" s="409"/>
      <c r="H190" s="409"/>
      <c r="I190" s="409"/>
      <c r="J190" s="409"/>
      <c r="K190" s="409"/>
      <c r="L190" s="409"/>
      <c r="M190" s="409"/>
      <c r="N190" s="409"/>
      <c r="O190" s="409"/>
      <c r="P190" s="409"/>
      <c r="Q190" s="409"/>
      <c r="R190" s="409"/>
      <c r="S190" s="409"/>
      <c r="T190" s="409"/>
      <c r="U190" s="409"/>
      <c r="V190" s="409"/>
      <c r="W190" s="409"/>
      <c r="X190" s="409"/>
    </row>
    <row r="191" ht="15.75" customHeight="1">
      <c r="A191" s="409"/>
      <c r="B191" s="409"/>
      <c r="C191" s="409"/>
      <c r="D191" s="409"/>
      <c r="E191" s="409"/>
      <c r="F191" s="409"/>
      <c r="G191" s="409"/>
      <c r="H191" s="409"/>
      <c r="I191" s="409"/>
      <c r="J191" s="409"/>
      <c r="K191" s="409"/>
      <c r="L191" s="409"/>
      <c r="M191" s="409"/>
      <c r="N191" s="409"/>
      <c r="O191" s="409"/>
      <c r="P191" s="409"/>
      <c r="Q191" s="409"/>
      <c r="R191" s="409"/>
      <c r="S191" s="409"/>
      <c r="T191" s="409"/>
      <c r="U191" s="409"/>
      <c r="V191" s="409"/>
      <c r="W191" s="409"/>
      <c r="X191" s="409"/>
    </row>
    <row r="192" ht="15.75" customHeight="1">
      <c r="A192" s="409"/>
      <c r="B192" s="409"/>
      <c r="C192" s="409"/>
      <c r="D192" s="409"/>
      <c r="E192" s="409"/>
      <c r="F192" s="409"/>
      <c r="G192" s="409"/>
      <c r="H192" s="409"/>
      <c r="I192" s="409"/>
      <c r="J192" s="409"/>
      <c r="K192" s="409"/>
      <c r="L192" s="409"/>
      <c r="M192" s="409"/>
      <c r="N192" s="409"/>
      <c r="O192" s="409"/>
      <c r="P192" s="409"/>
      <c r="Q192" s="409"/>
      <c r="R192" s="409"/>
      <c r="S192" s="409"/>
      <c r="T192" s="409"/>
      <c r="U192" s="409"/>
      <c r="V192" s="409"/>
      <c r="W192" s="409"/>
      <c r="X192" s="409"/>
    </row>
    <row r="193" ht="15.75" customHeight="1">
      <c r="A193" s="409"/>
      <c r="B193" s="409"/>
      <c r="C193" s="409"/>
      <c r="D193" s="409"/>
      <c r="E193" s="409"/>
      <c r="F193" s="409"/>
      <c r="G193" s="409"/>
      <c r="H193" s="409"/>
      <c r="I193" s="409"/>
      <c r="J193" s="409"/>
      <c r="K193" s="409"/>
      <c r="L193" s="409"/>
      <c r="M193" s="409"/>
      <c r="N193" s="409"/>
      <c r="O193" s="409"/>
      <c r="P193" s="409"/>
      <c r="Q193" s="409"/>
      <c r="R193" s="409"/>
      <c r="S193" s="409"/>
      <c r="T193" s="409"/>
      <c r="U193" s="409"/>
      <c r="V193" s="409"/>
      <c r="W193" s="409"/>
      <c r="X193" s="409"/>
    </row>
    <row r="194" ht="15.75" customHeight="1">
      <c r="A194" s="409"/>
      <c r="B194" s="409"/>
      <c r="C194" s="409"/>
      <c r="D194" s="409"/>
      <c r="E194" s="409"/>
      <c r="F194" s="409"/>
      <c r="G194" s="409"/>
      <c r="H194" s="409"/>
      <c r="I194" s="409"/>
      <c r="J194" s="409"/>
      <c r="K194" s="409"/>
      <c r="L194" s="409"/>
      <c r="M194" s="409"/>
      <c r="N194" s="409"/>
      <c r="O194" s="409"/>
      <c r="P194" s="409"/>
      <c r="Q194" s="409"/>
      <c r="R194" s="409"/>
      <c r="S194" s="409"/>
      <c r="T194" s="409"/>
      <c r="U194" s="409"/>
      <c r="V194" s="409"/>
      <c r="W194" s="409"/>
      <c r="X194" s="409"/>
    </row>
    <row r="195" ht="15.75" customHeight="1">
      <c r="A195" s="409"/>
      <c r="B195" s="409"/>
      <c r="C195" s="409"/>
      <c r="D195" s="409"/>
      <c r="E195" s="409"/>
      <c r="F195" s="409"/>
      <c r="G195" s="409"/>
      <c r="H195" s="409"/>
      <c r="I195" s="409"/>
      <c r="J195" s="409"/>
      <c r="K195" s="409"/>
      <c r="L195" s="409"/>
      <c r="M195" s="409"/>
      <c r="N195" s="409"/>
      <c r="O195" s="409"/>
      <c r="P195" s="409"/>
      <c r="Q195" s="409"/>
      <c r="R195" s="409"/>
      <c r="S195" s="409"/>
      <c r="T195" s="409"/>
      <c r="U195" s="409"/>
      <c r="V195" s="409"/>
      <c r="W195" s="409"/>
      <c r="X195" s="409"/>
    </row>
    <row r="196" ht="15.75" customHeight="1">
      <c r="A196" s="409"/>
      <c r="B196" s="409"/>
      <c r="C196" s="409"/>
      <c r="D196" s="409"/>
      <c r="E196" s="409"/>
      <c r="F196" s="409"/>
      <c r="G196" s="409"/>
      <c r="H196" s="409"/>
      <c r="I196" s="409"/>
      <c r="J196" s="409"/>
      <c r="K196" s="409"/>
      <c r="L196" s="409"/>
      <c r="M196" s="409"/>
      <c r="N196" s="409"/>
      <c r="O196" s="409"/>
      <c r="P196" s="409"/>
      <c r="Q196" s="409"/>
      <c r="R196" s="409"/>
      <c r="S196" s="409"/>
      <c r="T196" s="409"/>
      <c r="U196" s="409"/>
      <c r="V196" s="409"/>
      <c r="W196" s="409"/>
      <c r="X196" s="409"/>
    </row>
    <row r="197" ht="15.75" customHeight="1">
      <c r="A197" s="409"/>
      <c r="B197" s="409"/>
      <c r="C197" s="409"/>
      <c r="D197" s="409"/>
      <c r="E197" s="409"/>
      <c r="F197" s="409"/>
      <c r="G197" s="409"/>
      <c r="H197" s="409"/>
      <c r="I197" s="409"/>
      <c r="J197" s="409"/>
      <c r="K197" s="409"/>
      <c r="L197" s="409"/>
      <c r="M197" s="409"/>
      <c r="N197" s="409"/>
      <c r="O197" s="409"/>
      <c r="P197" s="409"/>
      <c r="Q197" s="409"/>
      <c r="R197" s="409"/>
      <c r="S197" s="409"/>
      <c r="T197" s="409"/>
      <c r="U197" s="409"/>
      <c r="V197" s="409"/>
      <c r="W197" s="409"/>
      <c r="X197" s="409"/>
    </row>
    <row r="198" ht="15.75" customHeight="1">
      <c r="A198" s="409"/>
      <c r="B198" s="409"/>
      <c r="C198" s="409"/>
      <c r="D198" s="409"/>
      <c r="E198" s="409"/>
      <c r="F198" s="409"/>
      <c r="G198" s="409"/>
      <c r="H198" s="409"/>
      <c r="I198" s="409"/>
      <c r="J198" s="409"/>
      <c r="K198" s="409"/>
      <c r="L198" s="409"/>
      <c r="M198" s="409"/>
      <c r="N198" s="409"/>
      <c r="O198" s="409"/>
      <c r="P198" s="409"/>
      <c r="Q198" s="409"/>
      <c r="R198" s="409"/>
      <c r="S198" s="409"/>
      <c r="T198" s="409"/>
      <c r="U198" s="409"/>
      <c r="V198" s="409"/>
      <c r="W198" s="409"/>
      <c r="X198" s="409"/>
    </row>
    <row r="199" ht="15.75" customHeight="1">
      <c r="A199" s="409"/>
      <c r="B199" s="409"/>
      <c r="C199" s="409"/>
      <c r="D199" s="409"/>
      <c r="E199" s="409"/>
      <c r="F199" s="409"/>
      <c r="G199" s="409"/>
      <c r="H199" s="409"/>
      <c r="I199" s="409"/>
      <c r="J199" s="409"/>
      <c r="K199" s="409"/>
      <c r="L199" s="409"/>
      <c r="M199" s="409"/>
      <c r="N199" s="409"/>
      <c r="O199" s="409"/>
      <c r="P199" s="409"/>
      <c r="Q199" s="409"/>
      <c r="R199" s="409"/>
      <c r="S199" s="409"/>
      <c r="T199" s="409"/>
      <c r="U199" s="409"/>
      <c r="V199" s="409"/>
      <c r="W199" s="409"/>
      <c r="X199" s="409"/>
    </row>
    <row r="200" ht="15.75" customHeight="1">
      <c r="A200" s="409"/>
      <c r="B200" s="409"/>
      <c r="C200" s="409"/>
      <c r="D200" s="409"/>
      <c r="E200" s="409"/>
      <c r="F200" s="409"/>
      <c r="G200" s="409"/>
      <c r="H200" s="409"/>
      <c r="I200" s="409"/>
      <c r="J200" s="409"/>
      <c r="K200" s="409"/>
      <c r="L200" s="409"/>
      <c r="M200" s="409"/>
      <c r="N200" s="409"/>
      <c r="O200" s="409"/>
      <c r="P200" s="409"/>
      <c r="Q200" s="409"/>
      <c r="R200" s="409"/>
      <c r="S200" s="409"/>
      <c r="T200" s="409"/>
      <c r="U200" s="409"/>
      <c r="V200" s="409"/>
      <c r="W200" s="409"/>
      <c r="X200" s="409"/>
    </row>
    <row r="201" ht="15.75" customHeight="1">
      <c r="A201" s="409"/>
      <c r="B201" s="409"/>
      <c r="C201" s="409"/>
      <c r="D201" s="409"/>
      <c r="E201" s="409"/>
      <c r="F201" s="409"/>
      <c r="G201" s="409"/>
      <c r="H201" s="409"/>
      <c r="I201" s="409"/>
      <c r="J201" s="409"/>
      <c r="K201" s="409"/>
      <c r="L201" s="409"/>
      <c r="M201" s="409"/>
      <c r="N201" s="409"/>
      <c r="O201" s="409"/>
      <c r="P201" s="409"/>
      <c r="Q201" s="409"/>
      <c r="R201" s="409"/>
      <c r="S201" s="409"/>
      <c r="T201" s="409"/>
      <c r="U201" s="409"/>
      <c r="V201" s="409"/>
      <c r="W201" s="409"/>
      <c r="X201" s="409"/>
    </row>
    <row r="202" ht="15.75" customHeight="1">
      <c r="A202" s="409"/>
      <c r="B202" s="409"/>
      <c r="C202" s="409"/>
      <c r="D202" s="409"/>
      <c r="E202" s="409"/>
      <c r="F202" s="409"/>
      <c r="G202" s="409"/>
      <c r="H202" s="409"/>
      <c r="I202" s="409"/>
      <c r="J202" s="409"/>
      <c r="K202" s="409"/>
      <c r="L202" s="409"/>
      <c r="M202" s="409"/>
      <c r="N202" s="409"/>
      <c r="O202" s="409"/>
      <c r="P202" s="409"/>
      <c r="Q202" s="409"/>
      <c r="R202" s="409"/>
      <c r="S202" s="409"/>
      <c r="T202" s="409"/>
      <c r="U202" s="409"/>
      <c r="V202" s="409"/>
      <c r="W202" s="409"/>
      <c r="X202" s="409"/>
    </row>
    <row r="203" ht="15.75" customHeight="1">
      <c r="A203" s="409"/>
      <c r="B203" s="409"/>
      <c r="C203" s="409"/>
      <c r="D203" s="409"/>
      <c r="E203" s="409"/>
      <c r="F203" s="409"/>
      <c r="G203" s="409"/>
      <c r="H203" s="409"/>
      <c r="I203" s="409"/>
      <c r="J203" s="409"/>
      <c r="K203" s="409"/>
      <c r="L203" s="409"/>
      <c r="M203" s="409"/>
      <c r="N203" s="409"/>
      <c r="O203" s="409"/>
      <c r="P203" s="409"/>
      <c r="Q203" s="409"/>
      <c r="R203" s="409"/>
      <c r="S203" s="409"/>
      <c r="T203" s="409"/>
      <c r="U203" s="409"/>
      <c r="V203" s="409"/>
      <c r="W203" s="409"/>
      <c r="X203" s="409"/>
    </row>
    <row r="204" ht="15.75" customHeight="1">
      <c r="A204" s="409"/>
      <c r="B204" s="409"/>
      <c r="C204" s="409"/>
      <c r="D204" s="409"/>
      <c r="E204" s="409"/>
      <c r="F204" s="409"/>
      <c r="G204" s="409"/>
      <c r="H204" s="409"/>
      <c r="I204" s="409"/>
      <c r="J204" s="409"/>
      <c r="K204" s="409"/>
      <c r="L204" s="409"/>
      <c r="M204" s="409"/>
      <c r="N204" s="409"/>
      <c r="O204" s="409"/>
      <c r="P204" s="409"/>
      <c r="Q204" s="409"/>
      <c r="R204" s="409"/>
      <c r="S204" s="409"/>
      <c r="T204" s="409"/>
      <c r="U204" s="409"/>
      <c r="V204" s="409"/>
      <c r="W204" s="409"/>
      <c r="X204" s="409"/>
    </row>
    <row r="205" ht="15.75" customHeight="1">
      <c r="A205" s="409"/>
      <c r="B205" s="409"/>
      <c r="C205" s="409"/>
      <c r="D205" s="409"/>
      <c r="E205" s="409"/>
      <c r="F205" s="409"/>
      <c r="G205" s="409"/>
      <c r="H205" s="409"/>
      <c r="I205" s="409"/>
      <c r="J205" s="409"/>
      <c r="K205" s="409"/>
      <c r="L205" s="409"/>
      <c r="M205" s="409"/>
      <c r="N205" s="409"/>
      <c r="O205" s="409"/>
      <c r="P205" s="409"/>
      <c r="Q205" s="409"/>
      <c r="R205" s="409"/>
      <c r="S205" s="409"/>
      <c r="T205" s="409"/>
      <c r="U205" s="409"/>
      <c r="V205" s="409"/>
      <c r="W205" s="409"/>
      <c r="X205" s="409"/>
    </row>
    <row r="206" ht="15.75" customHeight="1">
      <c r="A206" s="409"/>
      <c r="B206" s="409"/>
      <c r="C206" s="409"/>
      <c r="D206" s="409"/>
      <c r="E206" s="409"/>
      <c r="F206" s="409"/>
      <c r="G206" s="409"/>
      <c r="H206" s="409"/>
      <c r="I206" s="409"/>
      <c r="J206" s="409"/>
      <c r="K206" s="409"/>
      <c r="L206" s="409"/>
      <c r="M206" s="409"/>
      <c r="N206" s="409"/>
      <c r="O206" s="409"/>
      <c r="P206" s="409"/>
      <c r="Q206" s="409"/>
      <c r="R206" s="409"/>
      <c r="S206" s="409"/>
      <c r="T206" s="409"/>
      <c r="U206" s="409"/>
      <c r="V206" s="409"/>
      <c r="W206" s="409"/>
      <c r="X206" s="409"/>
    </row>
    <row r="207" ht="15.75" customHeight="1">
      <c r="A207" s="409"/>
      <c r="B207" s="409"/>
      <c r="C207" s="409"/>
      <c r="D207" s="409"/>
      <c r="E207" s="409"/>
      <c r="F207" s="409"/>
      <c r="G207" s="409"/>
      <c r="H207" s="409"/>
      <c r="I207" s="409"/>
      <c r="J207" s="409"/>
      <c r="K207" s="409"/>
      <c r="L207" s="409"/>
      <c r="M207" s="409"/>
      <c r="N207" s="409"/>
      <c r="O207" s="409"/>
      <c r="P207" s="409"/>
      <c r="Q207" s="409"/>
      <c r="R207" s="409"/>
      <c r="S207" s="409"/>
      <c r="T207" s="409"/>
      <c r="U207" s="409"/>
      <c r="V207" s="409"/>
      <c r="W207" s="409"/>
      <c r="X207" s="409"/>
    </row>
    <row r="208" ht="15.75" customHeight="1">
      <c r="A208" s="409"/>
      <c r="B208" s="409"/>
      <c r="C208" s="409"/>
      <c r="D208" s="409"/>
      <c r="E208" s="409"/>
      <c r="F208" s="409"/>
      <c r="G208" s="409"/>
      <c r="H208" s="409"/>
      <c r="I208" s="409"/>
      <c r="J208" s="409"/>
      <c r="K208" s="409"/>
      <c r="L208" s="409"/>
      <c r="M208" s="409"/>
      <c r="N208" s="409"/>
      <c r="O208" s="409"/>
      <c r="P208" s="409"/>
      <c r="Q208" s="409"/>
      <c r="R208" s="409"/>
      <c r="S208" s="409"/>
      <c r="T208" s="409"/>
      <c r="U208" s="409"/>
      <c r="V208" s="409"/>
      <c r="W208" s="409"/>
      <c r="X208" s="409"/>
    </row>
    <row r="209" ht="15.75" customHeight="1">
      <c r="A209" s="409"/>
      <c r="B209" s="409"/>
      <c r="C209" s="409"/>
      <c r="D209" s="409"/>
      <c r="E209" s="409"/>
      <c r="F209" s="409"/>
      <c r="G209" s="409"/>
      <c r="H209" s="409"/>
      <c r="I209" s="409"/>
      <c r="J209" s="409"/>
      <c r="K209" s="409"/>
      <c r="L209" s="409"/>
      <c r="M209" s="409"/>
      <c r="N209" s="409"/>
      <c r="O209" s="409"/>
      <c r="P209" s="409"/>
      <c r="Q209" s="409"/>
      <c r="R209" s="409"/>
      <c r="S209" s="409"/>
      <c r="T209" s="409"/>
      <c r="U209" s="409"/>
      <c r="V209" s="409"/>
      <c r="W209" s="409"/>
      <c r="X209" s="409"/>
    </row>
    <row r="210" ht="15.75" customHeight="1">
      <c r="A210" s="409"/>
      <c r="B210" s="409"/>
      <c r="C210" s="409"/>
      <c r="D210" s="409"/>
      <c r="E210" s="409"/>
      <c r="F210" s="409"/>
      <c r="G210" s="409"/>
      <c r="H210" s="409"/>
      <c r="I210" s="409"/>
      <c r="J210" s="409"/>
      <c r="K210" s="409"/>
      <c r="L210" s="409"/>
      <c r="M210" s="409"/>
      <c r="N210" s="409"/>
      <c r="O210" s="409"/>
      <c r="P210" s="409"/>
      <c r="Q210" s="409"/>
      <c r="R210" s="409"/>
      <c r="S210" s="409"/>
      <c r="T210" s="409"/>
      <c r="U210" s="409"/>
      <c r="V210" s="409"/>
      <c r="W210" s="409"/>
      <c r="X210" s="409"/>
    </row>
    <row r="211" ht="15.75" customHeight="1">
      <c r="A211" s="409"/>
      <c r="B211" s="409"/>
      <c r="C211" s="409"/>
      <c r="D211" s="409"/>
      <c r="E211" s="409"/>
      <c r="F211" s="409"/>
      <c r="G211" s="409"/>
      <c r="H211" s="409"/>
      <c r="I211" s="409"/>
      <c r="J211" s="409"/>
      <c r="K211" s="409"/>
      <c r="L211" s="409"/>
      <c r="M211" s="409"/>
      <c r="N211" s="409"/>
      <c r="O211" s="409"/>
      <c r="P211" s="409"/>
      <c r="Q211" s="409"/>
      <c r="R211" s="409"/>
      <c r="S211" s="409"/>
      <c r="T211" s="409"/>
      <c r="U211" s="409"/>
      <c r="V211" s="409"/>
      <c r="W211" s="409"/>
      <c r="X211" s="409"/>
    </row>
    <row r="212" ht="15.75" customHeight="1">
      <c r="A212" s="409"/>
      <c r="B212" s="409"/>
      <c r="C212" s="409"/>
      <c r="D212" s="409"/>
      <c r="E212" s="409"/>
      <c r="F212" s="409"/>
      <c r="G212" s="409"/>
      <c r="H212" s="409"/>
      <c r="I212" s="409"/>
      <c r="J212" s="409"/>
      <c r="K212" s="409"/>
      <c r="L212" s="409"/>
      <c r="M212" s="409"/>
      <c r="N212" s="409"/>
      <c r="O212" s="409"/>
      <c r="P212" s="409"/>
      <c r="Q212" s="409"/>
      <c r="R212" s="409"/>
      <c r="S212" s="409"/>
      <c r="T212" s="409"/>
      <c r="U212" s="409"/>
      <c r="V212" s="409"/>
      <c r="W212" s="409"/>
      <c r="X212" s="409"/>
    </row>
    <row r="213" ht="15.75" customHeight="1">
      <c r="A213" s="409"/>
      <c r="B213" s="409"/>
      <c r="C213" s="409"/>
      <c r="D213" s="409"/>
      <c r="E213" s="409"/>
      <c r="F213" s="409"/>
      <c r="G213" s="409"/>
      <c r="H213" s="409"/>
      <c r="I213" s="409"/>
      <c r="J213" s="409"/>
      <c r="K213" s="409"/>
      <c r="L213" s="409"/>
      <c r="M213" s="409"/>
      <c r="N213" s="409"/>
      <c r="O213" s="409"/>
      <c r="P213" s="409"/>
      <c r="Q213" s="409"/>
      <c r="R213" s="409"/>
      <c r="S213" s="409"/>
      <c r="T213" s="409"/>
      <c r="U213" s="409"/>
      <c r="V213" s="409"/>
      <c r="W213" s="409"/>
      <c r="X213" s="409"/>
    </row>
    <row r="214" ht="15.75" customHeight="1">
      <c r="A214" s="409"/>
      <c r="B214" s="409"/>
      <c r="C214" s="409"/>
      <c r="D214" s="409"/>
      <c r="E214" s="409"/>
      <c r="F214" s="409"/>
      <c r="G214" s="409"/>
      <c r="H214" s="409"/>
      <c r="I214" s="409"/>
      <c r="J214" s="409"/>
      <c r="K214" s="409"/>
      <c r="L214" s="409"/>
      <c r="M214" s="409"/>
      <c r="N214" s="409"/>
      <c r="O214" s="409"/>
      <c r="P214" s="409"/>
      <c r="Q214" s="409"/>
      <c r="R214" s="409"/>
      <c r="S214" s="409"/>
      <c r="T214" s="409"/>
      <c r="U214" s="409"/>
      <c r="V214" s="409"/>
      <c r="W214" s="409"/>
      <c r="X214" s="409"/>
    </row>
    <row r="215" ht="15.75" customHeight="1">
      <c r="A215" s="409"/>
      <c r="B215" s="409"/>
      <c r="C215" s="409"/>
      <c r="D215" s="409"/>
      <c r="E215" s="409"/>
      <c r="F215" s="409"/>
      <c r="G215" s="409"/>
      <c r="H215" s="409"/>
      <c r="I215" s="409"/>
      <c r="J215" s="409"/>
      <c r="K215" s="409"/>
      <c r="L215" s="409"/>
      <c r="M215" s="409"/>
      <c r="N215" s="409"/>
      <c r="O215" s="409"/>
      <c r="P215" s="409"/>
      <c r="Q215" s="409"/>
      <c r="R215" s="409"/>
      <c r="S215" s="409"/>
      <c r="T215" s="409"/>
      <c r="U215" s="409"/>
      <c r="V215" s="409"/>
      <c r="W215" s="409"/>
      <c r="X215" s="409"/>
    </row>
    <row r="216" ht="15.75" customHeight="1">
      <c r="A216" s="409"/>
      <c r="B216" s="409"/>
      <c r="C216" s="409"/>
      <c r="D216" s="409"/>
      <c r="E216" s="409"/>
      <c r="F216" s="409"/>
      <c r="G216" s="409"/>
      <c r="H216" s="409"/>
      <c r="I216" s="409"/>
      <c r="J216" s="409"/>
      <c r="K216" s="409"/>
      <c r="L216" s="409"/>
      <c r="M216" s="409"/>
      <c r="N216" s="409"/>
      <c r="O216" s="409"/>
      <c r="P216" s="409"/>
      <c r="Q216" s="409"/>
      <c r="R216" s="409"/>
      <c r="S216" s="409"/>
      <c r="T216" s="409"/>
      <c r="U216" s="409"/>
      <c r="V216" s="409"/>
      <c r="W216" s="409"/>
      <c r="X216" s="409"/>
    </row>
    <row r="217" ht="15.75" customHeight="1">
      <c r="A217" s="409"/>
      <c r="B217" s="409"/>
      <c r="C217" s="409"/>
      <c r="D217" s="409"/>
      <c r="E217" s="409"/>
      <c r="F217" s="409"/>
      <c r="G217" s="409"/>
      <c r="H217" s="409"/>
      <c r="I217" s="409"/>
      <c r="J217" s="409"/>
      <c r="K217" s="409"/>
      <c r="L217" s="409"/>
      <c r="M217" s="409"/>
      <c r="N217" s="409"/>
      <c r="O217" s="409"/>
      <c r="P217" s="409"/>
      <c r="Q217" s="409"/>
      <c r="R217" s="409"/>
      <c r="S217" s="409"/>
      <c r="T217" s="409"/>
      <c r="U217" s="409"/>
      <c r="V217" s="409"/>
      <c r="W217" s="409"/>
      <c r="X217" s="409"/>
    </row>
    <row r="218" ht="15.75" customHeight="1">
      <c r="A218" s="409"/>
      <c r="B218" s="409"/>
      <c r="C218" s="409"/>
      <c r="D218" s="409"/>
      <c r="E218" s="409"/>
      <c r="F218" s="409"/>
      <c r="G218" s="409"/>
      <c r="H218" s="409"/>
      <c r="I218" s="409"/>
      <c r="J218" s="409"/>
      <c r="K218" s="409"/>
      <c r="L218" s="409"/>
      <c r="M218" s="409"/>
      <c r="N218" s="409"/>
      <c r="O218" s="409"/>
      <c r="P218" s="409"/>
      <c r="Q218" s="409"/>
      <c r="R218" s="409"/>
      <c r="S218" s="409"/>
      <c r="T218" s="409"/>
      <c r="U218" s="409"/>
      <c r="V218" s="409"/>
      <c r="W218" s="409"/>
      <c r="X218" s="409"/>
    </row>
    <row r="219" ht="15.75" customHeight="1">
      <c r="A219" s="409"/>
      <c r="B219" s="409"/>
      <c r="C219" s="409"/>
      <c r="D219" s="409"/>
      <c r="E219" s="409"/>
      <c r="F219" s="409"/>
      <c r="G219" s="409"/>
      <c r="H219" s="409"/>
      <c r="I219" s="409"/>
      <c r="J219" s="409"/>
      <c r="K219" s="409"/>
      <c r="L219" s="409"/>
      <c r="M219" s="409"/>
      <c r="N219" s="409"/>
      <c r="O219" s="409"/>
      <c r="P219" s="409"/>
      <c r="Q219" s="409"/>
      <c r="R219" s="409"/>
      <c r="S219" s="409"/>
      <c r="T219" s="409"/>
      <c r="U219" s="409"/>
      <c r="V219" s="409"/>
      <c r="W219" s="409"/>
      <c r="X219" s="409"/>
    </row>
    <row r="220" ht="15.75" customHeight="1">
      <c r="A220" s="409"/>
      <c r="B220" s="409"/>
      <c r="C220" s="409"/>
      <c r="D220" s="409"/>
      <c r="E220" s="409"/>
      <c r="F220" s="409"/>
      <c r="G220" s="409"/>
      <c r="H220" s="409"/>
      <c r="I220" s="409"/>
      <c r="J220" s="409"/>
      <c r="K220" s="409"/>
      <c r="L220" s="409"/>
      <c r="M220" s="409"/>
      <c r="N220" s="409"/>
      <c r="O220" s="409"/>
      <c r="P220" s="409"/>
      <c r="Q220" s="409"/>
      <c r="R220" s="409"/>
      <c r="S220" s="409"/>
      <c r="T220" s="409"/>
      <c r="U220" s="409"/>
      <c r="V220" s="409"/>
      <c r="W220" s="409"/>
      <c r="X220" s="409"/>
    </row>
    <row r="221" ht="15.75" customHeight="1">
      <c r="A221" s="409"/>
      <c r="B221" s="409"/>
      <c r="C221" s="409"/>
      <c r="D221" s="409"/>
      <c r="E221" s="409"/>
      <c r="F221" s="409"/>
      <c r="G221" s="409"/>
      <c r="H221" s="409"/>
      <c r="I221" s="409"/>
      <c r="J221" s="409"/>
      <c r="K221" s="409"/>
      <c r="L221" s="409"/>
      <c r="M221" s="409"/>
      <c r="N221" s="409"/>
      <c r="O221" s="409"/>
      <c r="P221" s="409"/>
      <c r="Q221" s="409"/>
      <c r="R221" s="409"/>
      <c r="S221" s="409"/>
      <c r="T221" s="409"/>
      <c r="U221" s="409"/>
      <c r="V221" s="409"/>
      <c r="W221" s="409"/>
      <c r="X221" s="409"/>
    </row>
    <row r="222" ht="15.75" customHeight="1">
      <c r="A222" s="409"/>
      <c r="B222" s="409"/>
      <c r="C222" s="409"/>
      <c r="D222" s="409"/>
      <c r="E222" s="409"/>
      <c r="F222" s="409"/>
      <c r="G222" s="409"/>
      <c r="H222" s="409"/>
      <c r="I222" s="409"/>
      <c r="J222" s="409"/>
      <c r="K222" s="409"/>
      <c r="L222" s="409"/>
      <c r="M222" s="409"/>
      <c r="N222" s="409"/>
      <c r="O222" s="409"/>
      <c r="P222" s="409"/>
      <c r="Q222" s="409"/>
      <c r="R222" s="409"/>
      <c r="S222" s="409"/>
      <c r="T222" s="409"/>
      <c r="U222" s="409"/>
      <c r="V222" s="409"/>
      <c r="W222" s="409"/>
      <c r="X222" s="409"/>
    </row>
    <row r="223" ht="15.75" customHeight="1">
      <c r="A223" s="409"/>
      <c r="B223" s="409"/>
      <c r="C223" s="409"/>
      <c r="D223" s="409"/>
      <c r="E223" s="409"/>
      <c r="F223" s="409"/>
      <c r="G223" s="409"/>
      <c r="H223" s="409"/>
      <c r="I223" s="409"/>
      <c r="J223" s="409"/>
      <c r="K223" s="409"/>
      <c r="L223" s="409"/>
      <c r="M223" s="409"/>
      <c r="N223" s="409"/>
      <c r="O223" s="409"/>
      <c r="P223" s="409"/>
      <c r="Q223" s="409"/>
      <c r="R223" s="409"/>
      <c r="S223" s="409"/>
      <c r="T223" s="409"/>
      <c r="U223" s="409"/>
      <c r="V223" s="409"/>
      <c r="W223" s="409"/>
      <c r="X223" s="409"/>
    </row>
    <row r="224" ht="15.75" customHeight="1">
      <c r="A224" s="409"/>
      <c r="B224" s="409"/>
      <c r="C224" s="409"/>
      <c r="D224" s="409"/>
      <c r="E224" s="409"/>
      <c r="F224" s="409"/>
      <c r="G224" s="409"/>
      <c r="H224" s="409"/>
      <c r="I224" s="409"/>
      <c r="J224" s="409"/>
      <c r="K224" s="409"/>
      <c r="L224" s="409"/>
      <c r="M224" s="409"/>
      <c r="N224" s="409"/>
      <c r="O224" s="409"/>
      <c r="P224" s="409"/>
      <c r="Q224" s="409"/>
      <c r="R224" s="409"/>
      <c r="S224" s="409"/>
      <c r="T224" s="409"/>
      <c r="U224" s="409"/>
      <c r="V224" s="409"/>
      <c r="W224" s="409"/>
      <c r="X224" s="40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A3:G3"/>
    <mergeCell ref="A4:G4"/>
    <mergeCell ref="A5:A6"/>
    <mergeCell ref="B5:B6"/>
    <mergeCell ref="C5:F5"/>
    <mergeCell ref="G5:G6"/>
  </mergeCells>
  <drawing r:id="rId1"/>
</worksheet>
</file>